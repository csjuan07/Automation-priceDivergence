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husqvarnagroup-my.sharepoint.com/personal/juancarlos_santos_husqvarnagroup_com/Documents/Desktop/GITHUB/Price Divergence/"/>
    </mc:Choice>
  </mc:AlternateContent>
  <xr:revisionPtr revIDLastSave="38" documentId="8_{D53D04E8-E216-4B34-94E9-38ECF4612ACB}" xr6:coauthVersionLast="47" xr6:coauthVersionMax="47" xr10:uidLastSave="{3F2CFF2D-972E-4976-A5B8-A73C3D5F62F5}"/>
  <bookViews>
    <workbookView xWindow="28680" yWindow="-120" windowWidth="29040" windowHeight="15720" activeTab="1" xr2:uid="{C5527F5F-EDF8-4849-8E08-800FB404EEB9}"/>
  </bookViews>
  <sheets>
    <sheet name="insert" sheetId="2" r:id="rId1"/>
    <sheet name="MAIN 2026" sheetId="1" r:id="rId2"/>
  </sheets>
  <definedNames>
    <definedName name="Dropdown_CM">#REF!</definedName>
    <definedName name="Dropdown_Currency">#REF!</definedName>
    <definedName name="Dropdown_ProductCategory">#REF!</definedName>
    <definedName name="Dropdown_ProjectName">#REF!</definedName>
    <definedName name="Dropdown_Status">#REF!</definedName>
    <definedName name="ExternalData_1" localSheetId="0" hidden="1">insert!$A$1:$O$11</definedName>
    <definedName name="FactoryCurrency">#REF!</definedName>
    <definedName name="GroupCurrency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Z3" i="1"/>
  <c r="Z4" i="1"/>
  <c r="Z5" i="1"/>
  <c r="Z6" i="1"/>
  <c r="Z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B6A15D6-452E-4506-AC39-E0A885097E68}" keepAlive="1" name="Query - insert" description="Connection to the 'insert' query in the workbook." type="5" refreshedVersion="8" background="1" saveData="1">
    <dbPr connection="Provider=Microsoft.Mashup.OleDb.1;Data Source=$Workbook$;Location=insert;Extended Properties=&quot;&quot;" command="SELECT * FROM [insert]"/>
  </connection>
</connections>
</file>

<file path=xl/sharedStrings.xml><?xml version="1.0" encoding="utf-8"?>
<sst xmlns="http://schemas.openxmlformats.org/spreadsheetml/2006/main" count="14152" uniqueCount="1198">
  <si>
    <t>Part Number</t>
  </si>
  <si>
    <t>Price - Actual</t>
  </si>
  <si>
    <t>CURRENCY - Actual</t>
  </si>
  <si>
    <t>Actual Price IN SEK</t>
  </si>
  <si>
    <t>Measure - Actual</t>
  </si>
  <si>
    <t>Month/2026</t>
  </si>
  <si>
    <t>Volume</t>
  </si>
  <si>
    <t>SPEND - Actual</t>
  </si>
  <si>
    <t>SPEND - Actual SEK</t>
  </si>
  <si>
    <t>Supplier Code</t>
  </si>
  <si>
    <t>Supplier Name</t>
  </si>
  <si>
    <t>Buyer</t>
  </si>
  <si>
    <t>|Difference SEK|</t>
  </si>
  <si>
    <t>|Difference%|</t>
  </si>
  <si>
    <t>Part Number - ERP</t>
  </si>
  <si>
    <t>Price - ERP</t>
  </si>
  <si>
    <t>Price - ERP PC</t>
  </si>
  <si>
    <t>CURRENCY - ERP</t>
  </si>
  <si>
    <t>ERP Price IN SEK</t>
  </si>
  <si>
    <t>SPEND - ERP</t>
  </si>
  <si>
    <t>SPEND - ERP SEK</t>
  </si>
  <si>
    <t>Measure - ERP</t>
  </si>
  <si>
    <t>Supplier Code ERP</t>
  </si>
  <si>
    <t>DESCRIPTION</t>
  </si>
  <si>
    <t>COMPARE SUP&amp;Price</t>
  </si>
  <si>
    <t>Regional / Global</t>
  </si>
  <si>
    <t xml:space="preserve">Local /Oversea </t>
  </si>
  <si>
    <t>Category</t>
  </si>
  <si>
    <t>Item 1</t>
  </si>
  <si>
    <t>USD</t>
  </si>
  <si>
    <t>PC</t>
  </si>
  <si>
    <t>Code Supplier 1</t>
  </si>
  <si>
    <t>Supplier 1</t>
  </si>
  <si>
    <t>Buyer 1</t>
  </si>
  <si>
    <t>Description 1</t>
  </si>
  <si>
    <t>G</t>
  </si>
  <si>
    <t>O</t>
  </si>
  <si>
    <t>Category 1</t>
  </si>
  <si>
    <t>Item 6</t>
  </si>
  <si>
    <t>BRL</t>
  </si>
  <si>
    <t>Code Supplier 2</t>
  </si>
  <si>
    <t>Supplier 2</t>
  </si>
  <si>
    <t>Buyer 2</t>
  </si>
  <si>
    <t>Description 4</t>
  </si>
  <si>
    <t>R</t>
  </si>
  <si>
    <t>L</t>
  </si>
  <si>
    <t>Category 4</t>
  </si>
  <si>
    <t>Item 51</t>
  </si>
  <si>
    <t>Code Supplier 11</t>
  </si>
  <si>
    <t>Supplier 11</t>
  </si>
  <si>
    <t>Buyer 3</t>
  </si>
  <si>
    <t>Description 46</t>
  </si>
  <si>
    <t>Category 14</t>
  </si>
  <si>
    <t>Item 223</t>
  </si>
  <si>
    <t>Code Supplier 60</t>
  </si>
  <si>
    <t>Supplier 60</t>
  </si>
  <si>
    <t>Buyer 4</t>
  </si>
  <si>
    <t>Code Supplier 644</t>
  </si>
  <si>
    <t>Description 191</t>
  </si>
  <si>
    <t>Category 33</t>
  </si>
  <si>
    <t>Item 254</t>
  </si>
  <si>
    <t>Code Supplier 74</t>
  </si>
  <si>
    <t>Description 204</t>
  </si>
  <si>
    <t>Local / Oversea</t>
  </si>
  <si>
    <t>ITEM-301</t>
  </si>
  <si>
    <t>SUP001</t>
  </si>
  <si>
    <t>Supplier A</t>
  </si>
  <si>
    <t>Buyer A</t>
  </si>
  <si>
    <t>Hydraulic Assembly</t>
  </si>
  <si>
    <t>Category A</t>
  </si>
  <si>
    <t>ITEM-302</t>
  </si>
  <si>
    <t>EUR</t>
  </si>
  <si>
    <t>SUP002</t>
  </si>
  <si>
    <t>Supplier B</t>
  </si>
  <si>
    <t>Buyer B</t>
  </si>
  <si>
    <t>Motor Housing</t>
  </si>
  <si>
    <t>Category B</t>
  </si>
  <si>
    <t>ITEM-303</t>
  </si>
  <si>
    <t>SUP003</t>
  </si>
  <si>
    <t>Supplier C</t>
  </si>
  <si>
    <t>Buyer C</t>
  </si>
  <si>
    <t>Plastic Cover</t>
  </si>
  <si>
    <t>Category C</t>
  </si>
  <si>
    <t>ITEM-304</t>
  </si>
  <si>
    <t>SUP004</t>
  </si>
  <si>
    <t>Supplier D</t>
  </si>
  <si>
    <t>Buyer D</t>
  </si>
  <si>
    <t>Control Module</t>
  </si>
  <si>
    <t>Category D</t>
  </si>
  <si>
    <t>ITEM-305</t>
  </si>
  <si>
    <t>SUP005</t>
  </si>
  <si>
    <t>Supplier E</t>
  </si>
  <si>
    <t>Buyer E</t>
  </si>
  <si>
    <t>Valve Kit</t>
  </si>
  <si>
    <t>Category E</t>
  </si>
  <si>
    <t>ITEM-306</t>
  </si>
  <si>
    <t>SUP006</t>
  </si>
  <si>
    <t>Supplier F</t>
  </si>
  <si>
    <t>Buyer F</t>
  </si>
  <si>
    <t>Pressure Sensor</t>
  </si>
  <si>
    <t>ITEM-307</t>
  </si>
  <si>
    <t>SUP007</t>
  </si>
  <si>
    <t>Supplier G</t>
  </si>
  <si>
    <t>Buyer G</t>
  </si>
  <si>
    <t>Rubber Seal</t>
  </si>
  <si>
    <t>ITEM-308</t>
  </si>
  <si>
    <t>SUP008</t>
  </si>
  <si>
    <t>Supplier H</t>
  </si>
  <si>
    <t>Buyer H</t>
  </si>
  <si>
    <t>Drive Shaft</t>
  </si>
  <si>
    <t>ITEM-309</t>
  </si>
  <si>
    <t>SUP009</t>
  </si>
  <si>
    <t>Supplier I</t>
  </si>
  <si>
    <t>Buyer I</t>
  </si>
  <si>
    <t>Bearing Housing</t>
  </si>
  <si>
    <t>ITEM-310</t>
  </si>
  <si>
    <t>SUP010</t>
  </si>
  <si>
    <t>Supplier J</t>
  </si>
  <si>
    <t>Buyer J</t>
  </si>
  <si>
    <t>Injection Component</t>
  </si>
  <si>
    <t>Item 2</t>
  </si>
  <si>
    <t>Description 2</t>
  </si>
  <si>
    <t>Category 2</t>
  </si>
  <si>
    <t>Item 3</t>
  </si>
  <si>
    <t>Item 4</t>
  </si>
  <si>
    <t>Description 3</t>
  </si>
  <si>
    <t>Category 3</t>
  </si>
  <si>
    <t>Item 5</t>
  </si>
  <si>
    <t>Item 7</t>
  </si>
  <si>
    <t>Description 5</t>
  </si>
  <si>
    <t>Item 8</t>
  </si>
  <si>
    <t>Description 6</t>
  </si>
  <si>
    <t>Item 9</t>
  </si>
  <si>
    <t>Description 7</t>
  </si>
  <si>
    <t>Item 10</t>
  </si>
  <si>
    <t>Description 8</t>
  </si>
  <si>
    <t>Item 11</t>
  </si>
  <si>
    <t>Description 9</t>
  </si>
  <si>
    <t>Item 12</t>
  </si>
  <si>
    <t>Description 10</t>
  </si>
  <si>
    <t>Item 13</t>
  </si>
  <si>
    <t>Description 11</t>
  </si>
  <si>
    <t>Item 14</t>
  </si>
  <si>
    <t>Description 12</t>
  </si>
  <si>
    <t>Item 15</t>
  </si>
  <si>
    <t>Description 13</t>
  </si>
  <si>
    <t>Item 16</t>
  </si>
  <si>
    <t>Description 14</t>
  </si>
  <si>
    <t>Item 17</t>
  </si>
  <si>
    <t>Description 15</t>
  </si>
  <si>
    <t>Item 18</t>
  </si>
  <si>
    <t>Description 16</t>
  </si>
  <si>
    <t>Item 19</t>
  </si>
  <si>
    <t>Description 17</t>
  </si>
  <si>
    <t>Item 20</t>
  </si>
  <si>
    <t>Description 18</t>
  </si>
  <si>
    <t>Item 21</t>
  </si>
  <si>
    <t>Description 19</t>
  </si>
  <si>
    <t>Category 5</t>
  </si>
  <si>
    <t>Item 22</t>
  </si>
  <si>
    <t>Description 20</t>
  </si>
  <si>
    <t>Item 23</t>
  </si>
  <si>
    <t>Description 21</t>
  </si>
  <si>
    <t>Item 24</t>
  </si>
  <si>
    <t>Description 22</t>
  </si>
  <si>
    <t>Item 25</t>
  </si>
  <si>
    <t>Description 23</t>
  </si>
  <si>
    <t>Item 26</t>
  </si>
  <si>
    <t>Description 24</t>
  </si>
  <si>
    <t>Item 27</t>
  </si>
  <si>
    <t>Description 25</t>
  </si>
  <si>
    <t>Item 28</t>
  </si>
  <si>
    <t>Description 26</t>
  </si>
  <si>
    <t>Item 29</t>
  </si>
  <si>
    <t>Description 27</t>
  </si>
  <si>
    <t>Category 6</t>
  </si>
  <si>
    <t>Item 30</t>
  </si>
  <si>
    <t>Description 28</t>
  </si>
  <si>
    <t>Item 31</t>
  </si>
  <si>
    <t>SEK</t>
  </si>
  <si>
    <t>Code Supplier 3</t>
  </si>
  <si>
    <t>Supplier 3</t>
  </si>
  <si>
    <t>Description 29</t>
  </si>
  <si>
    <t>Item 32</t>
  </si>
  <si>
    <t>Code Supplier 4</t>
  </si>
  <si>
    <t>Supplier 4</t>
  </si>
  <si>
    <t>Description 30</t>
  </si>
  <si>
    <t>Category 7</t>
  </si>
  <si>
    <t>Item 33</t>
  </si>
  <si>
    <t>Description 31</t>
  </si>
  <si>
    <t>Item 34</t>
  </si>
  <si>
    <t>Description 32</t>
  </si>
  <si>
    <t>Item 35</t>
  </si>
  <si>
    <t>Code Supplier 5</t>
  </si>
  <si>
    <t>Supplier 5</t>
  </si>
  <si>
    <t>Description 33</t>
  </si>
  <si>
    <t>Category 8</t>
  </si>
  <si>
    <t>Item 36</t>
  </si>
  <si>
    <t>Description 34</t>
  </si>
  <si>
    <t>Item 37</t>
  </si>
  <si>
    <t>Item 38</t>
  </si>
  <si>
    <t>Code Supplier 6</t>
  </si>
  <si>
    <t>Supplier 6</t>
  </si>
  <si>
    <t>Description 35</t>
  </si>
  <si>
    <t>Category 9</t>
  </si>
  <si>
    <t>Item 39</t>
  </si>
  <si>
    <t>Description 36</t>
  </si>
  <si>
    <t>Item 40</t>
  </si>
  <si>
    <t>Description 37</t>
  </si>
  <si>
    <t>Item 41</t>
  </si>
  <si>
    <t>Code Supplier 7</t>
  </si>
  <si>
    <t>Supplier 7</t>
  </si>
  <si>
    <t>Description 38</t>
  </si>
  <si>
    <t>Item 42</t>
  </si>
  <si>
    <t>Description 39</t>
  </si>
  <si>
    <t>Item 43</t>
  </si>
  <si>
    <t>Item 44</t>
  </si>
  <si>
    <t>Code Supplier 8</t>
  </si>
  <si>
    <t>Supplier 8</t>
  </si>
  <si>
    <t>KG</t>
  </si>
  <si>
    <t>Description 40</t>
  </si>
  <si>
    <t>Category 10</t>
  </si>
  <si>
    <t>Item 45</t>
  </si>
  <si>
    <t>Code Supplier 9</t>
  </si>
  <si>
    <t>Supplier 9</t>
  </si>
  <si>
    <t>Description 41</t>
  </si>
  <si>
    <t>Category 11</t>
  </si>
  <si>
    <t>Item 46</t>
  </si>
  <si>
    <t>Description 42</t>
  </si>
  <si>
    <t>Item 47</t>
  </si>
  <si>
    <t>Description 43</t>
  </si>
  <si>
    <t>Category 12</t>
  </si>
  <si>
    <t>Item 48</t>
  </si>
  <si>
    <t>Description 44</t>
  </si>
  <si>
    <t>Category 13</t>
  </si>
  <si>
    <t>Item 49</t>
  </si>
  <si>
    <t>Description 45</t>
  </si>
  <si>
    <t>Item 50</t>
  </si>
  <si>
    <t>Code Supplier 10</t>
  </si>
  <si>
    <t>Supplier 10</t>
  </si>
  <si>
    <t>Item 53</t>
  </si>
  <si>
    <t>Code Supplier 13</t>
  </si>
  <si>
    <t>Supplier 13</t>
  </si>
  <si>
    <t>Code Supplier 597</t>
  </si>
  <si>
    <t>Description 48</t>
  </si>
  <si>
    <t>Category 16</t>
  </si>
  <si>
    <t>Item 54</t>
  </si>
  <si>
    <t>Code Supplier 14</t>
  </si>
  <si>
    <t>Supplier 14</t>
  </si>
  <si>
    <t>CT</t>
  </si>
  <si>
    <t>Description 49</t>
  </si>
  <si>
    <t>Category 17</t>
  </si>
  <si>
    <t>Item 55</t>
  </si>
  <si>
    <t>Code Supplier 15</t>
  </si>
  <si>
    <t>Supplier 15</t>
  </si>
  <si>
    <t>Description 50</t>
  </si>
  <si>
    <t>Category 18</t>
  </si>
  <si>
    <t>Item 56</t>
  </si>
  <si>
    <t>Code Supplier 16</t>
  </si>
  <si>
    <t>Supplier 16</t>
  </si>
  <si>
    <t>Code Supplier 594</t>
  </si>
  <si>
    <t>Description 51</t>
  </si>
  <si>
    <t>Category 19</t>
  </si>
  <si>
    <t>Item 57</t>
  </si>
  <si>
    <t>Code Supplier 595</t>
  </si>
  <si>
    <t>Description 52</t>
  </si>
  <si>
    <t>Item 58</t>
  </si>
  <si>
    <t>Code Supplier 598</t>
  </si>
  <si>
    <t>Item 60</t>
  </si>
  <si>
    <t>Code Supplier 18</t>
  </si>
  <si>
    <t>Supplier 18</t>
  </si>
  <si>
    <t>Code Supplier 600</t>
  </si>
  <si>
    <t>Description 54</t>
  </si>
  <si>
    <t>Category 21</t>
  </si>
  <si>
    <t>Item 61</t>
  </si>
  <si>
    <t>Code Supplier 19</t>
  </si>
  <si>
    <t>Supplier 19</t>
  </si>
  <si>
    <t>Code Supplier 601</t>
  </si>
  <si>
    <t>Description 55</t>
  </si>
  <si>
    <t>Item 62</t>
  </si>
  <si>
    <t>Code Supplier 20</t>
  </si>
  <si>
    <t>Supplier 20</t>
  </si>
  <si>
    <t>Code Supplier 602</t>
  </si>
  <si>
    <t>Description 56</t>
  </si>
  <si>
    <t>Item 63</t>
  </si>
  <si>
    <t>Description 57</t>
  </si>
  <si>
    <t>Item 64</t>
  </si>
  <si>
    <t>Description 58</t>
  </si>
  <si>
    <t>Category 15</t>
  </si>
  <si>
    <t>Item 65</t>
  </si>
  <si>
    <t>Description 59</t>
  </si>
  <si>
    <t>Item 66</t>
  </si>
  <si>
    <t>Description 60</t>
  </si>
  <si>
    <t>Item 67</t>
  </si>
  <si>
    <t>Item 68</t>
  </si>
  <si>
    <t>Description 61</t>
  </si>
  <si>
    <t>Item 59</t>
  </si>
  <si>
    <t>Code Supplier 17</t>
  </si>
  <si>
    <t>Supplier 17</t>
  </si>
  <si>
    <t>Code Supplier 599</t>
  </si>
  <si>
    <t>Description 53</t>
  </si>
  <si>
    <t>Category 20</t>
  </si>
  <si>
    <t>Item 70</t>
  </si>
  <si>
    <t>Code Supplier 21</t>
  </si>
  <si>
    <t>Supplier 21</t>
  </si>
  <si>
    <t>Description 63</t>
  </si>
  <si>
    <t>Category 23</t>
  </si>
  <si>
    <t>Item 71</t>
  </si>
  <si>
    <t>Description 64</t>
  </si>
  <si>
    <t>Item 73</t>
  </si>
  <si>
    <t>Code Supplier 22</t>
  </si>
  <si>
    <t>Supplier 22</t>
  </si>
  <si>
    <t>Code Supplier 605</t>
  </si>
  <si>
    <t>Description 66</t>
  </si>
  <si>
    <t>Item 77</t>
  </si>
  <si>
    <t>Code Supplier 24</t>
  </si>
  <si>
    <t>Supplier 24</t>
  </si>
  <si>
    <t>Code Supplier 607</t>
  </si>
  <si>
    <t>Description 69</t>
  </si>
  <si>
    <t>Item 80</t>
  </si>
  <si>
    <t>Code Supplier 27</t>
  </si>
  <si>
    <t>Supplier 27</t>
  </si>
  <si>
    <t>Code Supplier 609</t>
  </si>
  <si>
    <t>Category 24</t>
  </si>
  <si>
    <t>Item 81</t>
  </si>
  <si>
    <t>Description 72</t>
  </si>
  <si>
    <t>Item 82</t>
  </si>
  <si>
    <t>Description 73</t>
  </si>
  <si>
    <t>Item 85</t>
  </si>
  <si>
    <t>Code Supplier 28</t>
  </si>
  <si>
    <t>Supplier 28</t>
  </si>
  <si>
    <t>Code Supplier 610</t>
  </si>
  <si>
    <t>Description 76</t>
  </si>
  <si>
    <t>Item 86</t>
  </si>
  <si>
    <t>Code Supplier 612</t>
  </si>
  <si>
    <t>Description 77</t>
  </si>
  <si>
    <t>Category 25</t>
  </si>
  <si>
    <t>Item 91</t>
  </si>
  <si>
    <t>Code Supplier 31</t>
  </si>
  <si>
    <t>Supplier 31</t>
  </si>
  <si>
    <t>Code Supplier 614</t>
  </si>
  <si>
    <t>Description 81</t>
  </si>
  <si>
    <t>Item 92</t>
  </si>
  <si>
    <t>Code Supplier 32</t>
  </si>
  <si>
    <t>Supplier 32</t>
  </si>
  <si>
    <t>Code Supplier 615</t>
  </si>
  <si>
    <t>Description 82</t>
  </si>
  <si>
    <t>Item 93</t>
  </si>
  <si>
    <t>Description 83</t>
  </si>
  <si>
    <t>Item 112</t>
  </si>
  <si>
    <t>Code Supplier 33</t>
  </si>
  <si>
    <t>Supplier 33</t>
  </si>
  <si>
    <t>MI</t>
  </si>
  <si>
    <t>Code Supplier 616</t>
  </si>
  <si>
    <t>Description 101</t>
  </si>
  <si>
    <t>Item 113</t>
  </si>
  <si>
    <t>Description 102</t>
  </si>
  <si>
    <t>Category 27</t>
  </si>
  <si>
    <t>Item 114</t>
  </si>
  <si>
    <t>Description 103</t>
  </si>
  <si>
    <t>Item 115</t>
  </si>
  <si>
    <t>Description 104</t>
  </si>
  <si>
    <t>Category 28</t>
  </si>
  <si>
    <t>Item 116</t>
  </si>
  <si>
    <t>Description 105</t>
  </si>
  <si>
    <t>Item 117</t>
  </si>
  <si>
    <t>Description 106</t>
  </si>
  <si>
    <t>Item 118</t>
  </si>
  <si>
    <t>Description 107</t>
  </si>
  <si>
    <t>Item 121</t>
  </si>
  <si>
    <t>Description 110</t>
  </si>
  <si>
    <t>Item 122</t>
  </si>
  <si>
    <t>Description 111</t>
  </si>
  <si>
    <t>Item 123</t>
  </si>
  <si>
    <t>Description 112</t>
  </si>
  <si>
    <t>Item 124</t>
  </si>
  <si>
    <t>Description 113</t>
  </si>
  <si>
    <t>Item 125</t>
  </si>
  <si>
    <t>Code Supplier 34</t>
  </si>
  <si>
    <t>Supplier 34</t>
  </si>
  <si>
    <t>Code Supplier 617</t>
  </si>
  <si>
    <t>Description 114</t>
  </si>
  <si>
    <t>Category 29</t>
  </si>
  <si>
    <t>Item 126</t>
  </si>
  <si>
    <t>Code Supplier 35</t>
  </si>
  <si>
    <t>Supplier 35</t>
  </si>
  <si>
    <t>Code Supplier 618</t>
  </si>
  <si>
    <t>Description 115</t>
  </si>
  <si>
    <t>Category 30</t>
  </si>
  <si>
    <t>Item 127</t>
  </si>
  <si>
    <t>Description 116</t>
  </si>
  <si>
    <t>Item 128</t>
  </si>
  <si>
    <t>Description 117</t>
  </si>
  <si>
    <t>Item 129</t>
  </si>
  <si>
    <t>Description 118</t>
  </si>
  <si>
    <t>Item 130</t>
  </si>
  <si>
    <t>Code Supplier 36</t>
  </si>
  <si>
    <t>Supplier 36</t>
  </si>
  <si>
    <t>Code Supplier 619</t>
  </si>
  <si>
    <t>Description 119</t>
  </si>
  <si>
    <t>Item 131</t>
  </si>
  <si>
    <t>Description 120</t>
  </si>
  <si>
    <t>Item 132</t>
  </si>
  <si>
    <t>Description 121</t>
  </si>
  <si>
    <t>Item 133</t>
  </si>
  <si>
    <t>Code Supplier 37</t>
  </si>
  <si>
    <t>Supplier 37</t>
  </si>
  <si>
    <t>Code Supplier 620</t>
  </si>
  <si>
    <t>Description 122</t>
  </si>
  <si>
    <t>Item 134</t>
  </si>
  <si>
    <t>Item 135</t>
  </si>
  <si>
    <t>Description 123</t>
  </si>
  <si>
    <t>Item 136</t>
  </si>
  <si>
    <t>Item 137</t>
  </si>
  <si>
    <t>Code Supplier 38</t>
  </si>
  <si>
    <t>Supplier 38</t>
  </si>
  <si>
    <t>Code Supplier 621</t>
  </si>
  <si>
    <t>Description 124</t>
  </si>
  <si>
    <t>Item 138</t>
  </si>
  <si>
    <t>Code Supplier 39</t>
  </si>
  <si>
    <t>Supplier 39</t>
  </si>
  <si>
    <t>Code Supplier 622</t>
  </si>
  <si>
    <t>Description 125</t>
  </si>
  <si>
    <t>Category 31</t>
  </si>
  <si>
    <t>Item 139</t>
  </si>
  <si>
    <t>Item 140</t>
  </si>
  <si>
    <t>Code Supplier 40</t>
  </si>
  <si>
    <t>Supplier 40</t>
  </si>
  <si>
    <t>Code Supplier 623</t>
  </si>
  <si>
    <t>Description 126</t>
  </si>
  <si>
    <t>Item 141</t>
  </si>
  <si>
    <t>Description 127</t>
  </si>
  <si>
    <t>Item 142</t>
  </si>
  <si>
    <t>Description 128</t>
  </si>
  <si>
    <t>Category 32</t>
  </si>
  <si>
    <t>Item 143</t>
  </si>
  <si>
    <t>Description 129</t>
  </si>
  <si>
    <t>Item 144</t>
  </si>
  <si>
    <t>Description 130</t>
  </si>
  <si>
    <t>Item 145</t>
  </si>
  <si>
    <t>Description 131</t>
  </si>
  <si>
    <t>Item 146</t>
  </si>
  <si>
    <t>Description 132</t>
  </si>
  <si>
    <t>Item 147</t>
  </si>
  <si>
    <t>Description 133</t>
  </si>
  <si>
    <t>Item 148</t>
  </si>
  <si>
    <t>Description 134</t>
  </si>
  <si>
    <t>Item 149</t>
  </si>
  <si>
    <t>Description 135</t>
  </si>
  <si>
    <t>Item 150</t>
  </si>
  <si>
    <t>Description 136</t>
  </si>
  <si>
    <t>Item 151</t>
  </si>
  <si>
    <t>Description 137</t>
  </si>
  <si>
    <t>Item 152</t>
  </si>
  <si>
    <t>Code Supplier 26</t>
  </si>
  <si>
    <t>Supplier 26</t>
  </si>
  <si>
    <t>Description 138</t>
  </si>
  <si>
    <t>Item 153</t>
  </si>
  <si>
    <t>Description 139</t>
  </si>
  <si>
    <t>Item 154</t>
  </si>
  <si>
    <t>Description 140</t>
  </si>
  <si>
    <t>Item 155</t>
  </si>
  <si>
    <t>Description 141</t>
  </si>
  <si>
    <t>Item 156</t>
  </si>
  <si>
    <t>Description 142</t>
  </si>
  <si>
    <t>Item 157</t>
  </si>
  <si>
    <t>Description 143</t>
  </si>
  <si>
    <t>Item 158</t>
  </si>
  <si>
    <t>Code Supplier 41</t>
  </si>
  <si>
    <t>Supplier 41</t>
  </si>
  <si>
    <t>Code Supplier 624</t>
  </si>
  <si>
    <t>Item 159</t>
  </si>
  <si>
    <t>Description 144</t>
  </si>
  <si>
    <t>Item 160</t>
  </si>
  <si>
    <t>Code Supplier 42</t>
  </si>
  <si>
    <t>Supplier 42</t>
  </si>
  <si>
    <t>Code Supplier 625</t>
  </si>
  <si>
    <t>Description 145</t>
  </si>
  <si>
    <t>Item 162</t>
  </si>
  <si>
    <t>Description 147</t>
  </si>
  <si>
    <t>Item 163</t>
  </si>
  <si>
    <t>Code Supplier 44</t>
  </si>
  <si>
    <t>Supplier 44</t>
  </si>
  <si>
    <t>Code Supplier 627</t>
  </si>
  <si>
    <t>Description 148</t>
  </si>
  <si>
    <t>Item 164</t>
  </si>
  <si>
    <t>Description 149</t>
  </si>
  <si>
    <t>Item 165</t>
  </si>
  <si>
    <t>Code Supplier 45</t>
  </si>
  <si>
    <t>Supplier 45</t>
  </si>
  <si>
    <t>Code Supplier 628</t>
  </si>
  <si>
    <t>Description 150</t>
  </si>
  <si>
    <t>Item 166</t>
  </si>
  <si>
    <t>Item 167</t>
  </si>
  <si>
    <t>Description 151</t>
  </si>
  <si>
    <t>Item 168</t>
  </si>
  <si>
    <t>Description 152</t>
  </si>
  <si>
    <t>Item 169</t>
  </si>
  <si>
    <t>Item 170</t>
  </si>
  <si>
    <t>Description 153</t>
  </si>
  <si>
    <t>Category 34</t>
  </si>
  <si>
    <t>Item 171</t>
  </si>
  <si>
    <t>Item 172</t>
  </si>
  <si>
    <t>Description 154</t>
  </si>
  <si>
    <t>Item 173</t>
  </si>
  <si>
    <t>Description 155</t>
  </si>
  <si>
    <t>Item 174</t>
  </si>
  <si>
    <t>Code Supplier 46</t>
  </si>
  <si>
    <t>Supplier 46</t>
  </si>
  <si>
    <t>Code Supplier 629</t>
  </si>
  <si>
    <t>Description 156</t>
  </si>
  <si>
    <t>Item 175</t>
  </si>
  <si>
    <t>Description 157</t>
  </si>
  <si>
    <t>Item 176</t>
  </si>
  <si>
    <t>Description 158</t>
  </si>
  <si>
    <t>Item 177</t>
  </si>
  <si>
    <t>Description 159</t>
  </si>
  <si>
    <t>Item 178</t>
  </si>
  <si>
    <t>Description 160</t>
  </si>
  <si>
    <t>Item 179</t>
  </si>
  <si>
    <t>Description 161</t>
  </si>
  <si>
    <t>Category 35</t>
  </si>
  <si>
    <t>Item 180</t>
  </si>
  <si>
    <t>Description 162</t>
  </si>
  <si>
    <t>Item 181</t>
  </si>
  <si>
    <t>Description 163</t>
  </si>
  <si>
    <t>Item 182</t>
  </si>
  <si>
    <t>Description 164</t>
  </si>
  <si>
    <t>Item 183</t>
  </si>
  <si>
    <t>Code Supplier 47</t>
  </si>
  <si>
    <t>Supplier 47</t>
  </si>
  <si>
    <t>Code Supplier 630</t>
  </si>
  <si>
    <t>Description 165</t>
  </si>
  <si>
    <t>Item 184</t>
  </si>
  <si>
    <t>Item 185</t>
  </si>
  <si>
    <t>Item 186</t>
  </si>
  <si>
    <t>Description 166</t>
  </si>
  <si>
    <t>Item 187</t>
  </si>
  <si>
    <t>Description 167</t>
  </si>
  <si>
    <t>Item 188</t>
  </si>
  <si>
    <t>Description 168</t>
  </si>
  <si>
    <t>Item 189</t>
  </si>
  <si>
    <t>Item 190</t>
  </si>
  <si>
    <t>Item 191</t>
  </si>
  <si>
    <t>Item 192</t>
  </si>
  <si>
    <t>Item 195</t>
  </si>
  <si>
    <t>Description 171</t>
  </si>
  <si>
    <t>Item 200</t>
  </si>
  <si>
    <t>Code Supplier 50</t>
  </si>
  <si>
    <t>Supplier 50</t>
  </si>
  <si>
    <t>Code Supplier 634</t>
  </si>
  <si>
    <t>Description 174</t>
  </si>
  <si>
    <t>Category 38</t>
  </si>
  <si>
    <t>Item 201</t>
  </si>
  <si>
    <t>Description 175</t>
  </si>
  <si>
    <t>Item 202</t>
  </si>
  <si>
    <t>Description 176</t>
  </si>
  <si>
    <t>Item 203</t>
  </si>
  <si>
    <t>Code Supplier 51</t>
  </si>
  <si>
    <t>Supplier 51</t>
  </si>
  <si>
    <t>Code Supplier 635</t>
  </si>
  <si>
    <t>Description 177</t>
  </si>
  <si>
    <t>Category 39</t>
  </si>
  <si>
    <t>Item 205</t>
  </si>
  <si>
    <t>Description 179</t>
  </si>
  <si>
    <t>I</t>
  </si>
  <si>
    <t>Item 206</t>
  </si>
  <si>
    <t>Code Supplier 52</t>
  </si>
  <si>
    <t>Supplier 52</t>
  </si>
  <si>
    <t>Code Supplier 636</t>
  </si>
  <si>
    <t>Description 180</t>
  </si>
  <si>
    <t>Item 207</t>
  </si>
  <si>
    <t>Item 208</t>
  </si>
  <si>
    <t>Item 209</t>
  </si>
  <si>
    <t>Item 210</t>
  </si>
  <si>
    <t>CNY</t>
  </si>
  <si>
    <t>Code Supplier 53</t>
  </si>
  <si>
    <t>Supplier 53</t>
  </si>
  <si>
    <t>Code Supplier 637</t>
  </si>
  <si>
    <t>Description 181</t>
  </si>
  <si>
    <t>Category 40</t>
  </si>
  <si>
    <t>Item 211</t>
  </si>
  <si>
    <t>Code Supplier 54</t>
  </si>
  <si>
    <t>Supplier 54</t>
  </si>
  <si>
    <t>Code Supplier 638</t>
  </si>
  <si>
    <t>Description 182</t>
  </si>
  <si>
    <t>Item 212</t>
  </si>
  <si>
    <t>Description 183</t>
  </si>
  <si>
    <t>Item 213</t>
  </si>
  <si>
    <t>Description 184</t>
  </si>
  <si>
    <t>Item 214</t>
  </si>
  <si>
    <t>Description 185</t>
  </si>
  <si>
    <t>Item 215</t>
  </si>
  <si>
    <t>Description 186</t>
  </si>
  <si>
    <t>Item 216</t>
  </si>
  <si>
    <t>Code Supplier 55</t>
  </si>
  <si>
    <t>Supplier 55</t>
  </si>
  <si>
    <t>Code Supplier 639</t>
  </si>
  <si>
    <t>Description 187</t>
  </si>
  <si>
    <t>Item 217</t>
  </si>
  <si>
    <t>Code Supplier 56</t>
  </si>
  <si>
    <t>Supplier 56</t>
  </si>
  <si>
    <t>Code Supplier 640</t>
  </si>
  <si>
    <t>Item 218</t>
  </si>
  <si>
    <t>Item 219</t>
  </si>
  <si>
    <t>Item 220</t>
  </si>
  <si>
    <t>Code Supplier 57</t>
  </si>
  <si>
    <t>Supplier 57</t>
  </si>
  <si>
    <t>Code Supplier 641</t>
  </si>
  <si>
    <t>Description 188</t>
  </si>
  <si>
    <t>Category 41</t>
  </si>
  <si>
    <t>Item 221</t>
  </si>
  <si>
    <t>Code Supplier 58</t>
  </si>
  <si>
    <t>Supplier 58</t>
  </si>
  <si>
    <t>Code Supplier 642</t>
  </si>
  <si>
    <t>Description 189</t>
  </si>
  <si>
    <t>Item 222</t>
  </si>
  <si>
    <t>Code Supplier 59</t>
  </si>
  <si>
    <t>Supplier 59</t>
  </si>
  <si>
    <t>Code Supplier 643</t>
  </si>
  <si>
    <t>Description 190</t>
  </si>
  <si>
    <t>Item 224</t>
  </si>
  <si>
    <t>Description 192</t>
  </si>
  <si>
    <t>Category 42</t>
  </si>
  <si>
    <t>Item 225</t>
  </si>
  <si>
    <t>Description 193</t>
  </si>
  <si>
    <t>Item 226</t>
  </si>
  <si>
    <t>Description 194</t>
  </si>
  <si>
    <t>Item 227</t>
  </si>
  <si>
    <t>Description 195</t>
  </si>
  <si>
    <t>Item 228</t>
  </si>
  <si>
    <t>Item 229</t>
  </si>
  <si>
    <t>Description 196</t>
  </si>
  <si>
    <t>Item 230</t>
  </si>
  <si>
    <t>Description 197</t>
  </si>
  <si>
    <t>Category 43</t>
  </si>
  <si>
    <t>Item 231</t>
  </si>
  <si>
    <t>Item 232</t>
  </si>
  <si>
    <t>Item 233</t>
  </si>
  <si>
    <t>Description 170</t>
  </si>
  <si>
    <t>Category 37</t>
  </si>
  <si>
    <t>Item 234</t>
  </si>
  <si>
    <t>Description 198</t>
  </si>
  <si>
    <t>Item 235</t>
  </si>
  <si>
    <t>Description 199</t>
  </si>
  <si>
    <t>Item 236</t>
  </si>
  <si>
    <t>Item 237</t>
  </si>
  <si>
    <t>Item 238</t>
  </si>
  <si>
    <t>Item 239</t>
  </si>
  <si>
    <t>Item 240</t>
  </si>
  <si>
    <t>Item 241</t>
  </si>
  <si>
    <t>Item 242</t>
  </si>
  <si>
    <t>Item 243</t>
  </si>
  <si>
    <t>Description 200</t>
  </si>
  <si>
    <t>Item 244</t>
  </si>
  <si>
    <t>Item 245</t>
  </si>
  <si>
    <t>Description 201</t>
  </si>
  <si>
    <t>Category 44</t>
  </si>
  <si>
    <t>Item 246</t>
  </si>
  <si>
    <t>Item 247</t>
  </si>
  <si>
    <t>Item 248</t>
  </si>
  <si>
    <t>Item 249</t>
  </si>
  <si>
    <t>Item 250</t>
  </si>
  <si>
    <t>Item 251</t>
  </si>
  <si>
    <t>Description 202</t>
  </si>
  <si>
    <t>Item 252</t>
  </si>
  <si>
    <t>Item 253</t>
  </si>
  <si>
    <t>Description 203</t>
  </si>
  <si>
    <t>Item 255</t>
  </si>
  <si>
    <t>Item 256</t>
  </si>
  <si>
    <t>Item 257</t>
  </si>
  <si>
    <t>Description 205</t>
  </si>
  <si>
    <t>Item 258</t>
  </si>
  <si>
    <t>Item 259</t>
  </si>
  <si>
    <t>Item 260</t>
  </si>
  <si>
    <t>Description 206</t>
  </si>
  <si>
    <t>Item 261</t>
  </si>
  <si>
    <t>Category 45</t>
  </si>
  <si>
    <t>Item 262</t>
  </si>
  <si>
    <t>Item 263</t>
  </si>
  <si>
    <t>Description 207</t>
  </si>
  <si>
    <t>Item 264</t>
  </si>
  <si>
    <t>Item 265</t>
  </si>
  <si>
    <t>Description 208</t>
  </si>
  <si>
    <t>Item 266</t>
  </si>
  <si>
    <t>Description 209</t>
  </si>
  <si>
    <t>Category 46</t>
  </si>
  <si>
    <t>Item 267</t>
  </si>
  <si>
    <t>Description 210</t>
  </si>
  <si>
    <t>Item 268</t>
  </si>
  <si>
    <t>Description 211</t>
  </si>
  <si>
    <t>Item 269</t>
  </si>
  <si>
    <t>Description 212</t>
  </si>
  <si>
    <t>Item 270</t>
  </si>
  <si>
    <t>Code Supplier 645</t>
  </si>
  <si>
    <t>Description 213</t>
  </si>
  <si>
    <t>Category 47</t>
  </si>
  <si>
    <t>Item 271</t>
  </si>
  <si>
    <t>Description 214</t>
  </si>
  <si>
    <t>Item 272</t>
  </si>
  <si>
    <t>Description 215</t>
  </si>
  <si>
    <t>Item 273</t>
  </si>
  <si>
    <t>Item 274</t>
  </si>
  <si>
    <t>Item 275</t>
  </si>
  <si>
    <t>Item 276</t>
  </si>
  <si>
    <t>Item 277</t>
  </si>
  <si>
    <t>Code Supplier 61</t>
  </si>
  <si>
    <t>Supplier 61</t>
  </si>
  <si>
    <t>Code Supplier 646</t>
  </si>
  <si>
    <t>Item 278</t>
  </si>
  <si>
    <t>Code Supplier 647</t>
  </si>
  <si>
    <t>Item 279</t>
  </si>
  <si>
    <t>JPY</t>
  </si>
  <si>
    <t>Code Supplier 62</t>
  </si>
  <si>
    <t>Supplier 62</t>
  </si>
  <si>
    <t>Code Supplier 648</t>
  </si>
  <si>
    <t>Description 216</t>
  </si>
  <si>
    <t>Item 280</t>
  </si>
  <si>
    <t>Description 217</t>
  </si>
  <si>
    <t>Item 281</t>
  </si>
  <si>
    <t>Description 218</t>
  </si>
  <si>
    <t>Item 282</t>
  </si>
  <si>
    <t>Description 219</t>
  </si>
  <si>
    <t>Item 283</t>
  </si>
  <si>
    <t>Description 220</t>
  </si>
  <si>
    <t>Item 284</t>
  </si>
  <si>
    <t>Description 221</t>
  </si>
  <si>
    <t>Item 285</t>
  </si>
  <si>
    <t>Description 222</t>
  </si>
  <si>
    <t>Item 286</t>
  </si>
  <si>
    <t>Description 223</t>
  </si>
  <si>
    <t>Item 287</t>
  </si>
  <si>
    <t>Description 224</t>
  </si>
  <si>
    <t>Item 288</t>
  </si>
  <si>
    <t>Description 225</t>
  </si>
  <si>
    <t>Item 289</t>
  </si>
  <si>
    <t>Item 290</t>
  </si>
  <si>
    <t>Code Supplier 63</t>
  </si>
  <si>
    <t>Supplier 63</t>
  </si>
  <si>
    <t>Description 226</t>
  </si>
  <si>
    <t>Item 291</t>
  </si>
  <si>
    <t>Code Supplier 649</t>
  </si>
  <si>
    <t>Description 227</t>
  </si>
  <si>
    <t>Item 292</t>
  </si>
  <si>
    <t>Category 36</t>
  </si>
  <si>
    <t>Item 293</t>
  </si>
  <si>
    <t>Description 228</t>
  </si>
  <si>
    <t>Item 294</t>
  </si>
  <si>
    <t>Code Supplier 64</t>
  </si>
  <si>
    <t>Supplier 64</t>
  </si>
  <si>
    <t>Code Supplier 650</t>
  </si>
  <si>
    <t>Description 229</t>
  </si>
  <si>
    <t>Item 295</t>
  </si>
  <si>
    <t>Description 230</t>
  </si>
  <si>
    <t>Item 296</t>
  </si>
  <si>
    <t>Description 231</t>
  </si>
  <si>
    <t>Item 305</t>
  </si>
  <si>
    <t>Description 240</t>
  </si>
  <si>
    <t>Item 306</t>
  </si>
  <si>
    <t>Description 241</t>
  </si>
  <si>
    <t>Item 307</t>
  </si>
  <si>
    <t>Description 242</t>
  </si>
  <si>
    <t>Item 308</t>
  </si>
  <si>
    <t>Code Supplier 65</t>
  </si>
  <si>
    <t>Supplier 65</t>
  </si>
  <si>
    <t>Code Supplier 651</t>
  </si>
  <si>
    <t>Description 243</t>
  </si>
  <si>
    <t>Item 309</t>
  </si>
  <si>
    <t>Description 244</t>
  </si>
  <si>
    <t>Item 310</t>
  </si>
  <si>
    <t>Description 245</t>
  </si>
  <si>
    <t>Category 26</t>
  </si>
  <si>
    <t>Item 311</t>
  </si>
  <si>
    <t>Description 246</t>
  </si>
  <si>
    <t>Item 312</t>
  </si>
  <si>
    <t>Item 313</t>
  </si>
  <si>
    <t>Description 247</t>
  </si>
  <si>
    <t>Item 314</t>
  </si>
  <si>
    <t>Description 248</t>
  </si>
  <si>
    <t>Item 315</t>
  </si>
  <si>
    <t>Description 249</t>
  </si>
  <si>
    <t>Item 316</t>
  </si>
  <si>
    <t>Description 250</t>
  </si>
  <si>
    <t>Item 317</t>
  </si>
  <si>
    <t>Description 251</t>
  </si>
  <si>
    <t>Item 318</t>
  </si>
  <si>
    <t>Description 252</t>
  </si>
  <si>
    <t>Item 319</t>
  </si>
  <si>
    <t>Description 253</t>
  </si>
  <si>
    <t>Item 320</t>
  </si>
  <si>
    <t>Description 254</t>
  </si>
  <si>
    <t>Item 321</t>
  </si>
  <si>
    <t>Description 255</t>
  </si>
  <si>
    <t>Item 322</t>
  </si>
  <si>
    <t>Description 256</t>
  </si>
  <si>
    <t>Item 323</t>
  </si>
  <si>
    <t>Description 257</t>
  </si>
  <si>
    <t>Item 324</t>
  </si>
  <si>
    <t>Description 258</t>
  </si>
  <si>
    <t>Item 325</t>
  </si>
  <si>
    <t>Description 259</t>
  </si>
  <si>
    <t>Item 326</t>
  </si>
  <si>
    <t>Description 260</t>
  </si>
  <si>
    <t>Item 327</t>
  </si>
  <si>
    <t>Description 261</t>
  </si>
  <si>
    <t>Item 328</t>
  </si>
  <si>
    <t>Code Supplier 66</t>
  </si>
  <si>
    <t>Supplier 66</t>
  </si>
  <si>
    <t>Code Supplier 652</t>
  </si>
  <si>
    <t>Description 262</t>
  </si>
  <si>
    <t>Item 329</t>
  </si>
  <si>
    <t>Code Supplier 12</t>
  </si>
  <si>
    <t>Supplier 12</t>
  </si>
  <si>
    <t>Description 263</t>
  </si>
  <si>
    <t>Item 52</t>
  </si>
  <si>
    <t>Description 47</t>
  </si>
  <si>
    <t>Item 330</t>
  </si>
  <si>
    <t>Code Supplier 67</t>
  </si>
  <si>
    <t>Supplier 67</t>
  </si>
  <si>
    <t>Code Supplier 653</t>
  </si>
  <si>
    <t>Description 264</t>
  </si>
  <si>
    <t>Item 331</t>
  </si>
  <si>
    <t>Description 265</t>
  </si>
  <si>
    <t>Item 332</t>
  </si>
  <si>
    <t>Description 266</t>
  </si>
  <si>
    <t>Item 333</t>
  </si>
  <si>
    <t>Description 267</t>
  </si>
  <si>
    <t>Item 334</t>
  </si>
  <si>
    <t>Description 268</t>
  </si>
  <si>
    <t>Item 335</t>
  </si>
  <si>
    <t>Description 269</t>
  </si>
  <si>
    <t>Item 336</t>
  </si>
  <si>
    <t>Description 270</t>
  </si>
  <si>
    <t>Item 337</t>
  </si>
  <si>
    <t>Description 271</t>
  </si>
  <si>
    <t>Item 338</t>
  </si>
  <si>
    <t>Description 272</t>
  </si>
  <si>
    <t>Category 48</t>
  </si>
  <si>
    <t>Item 339</t>
  </si>
  <si>
    <t>Description 273</t>
  </si>
  <si>
    <t>Item 340</t>
  </si>
  <si>
    <t>Code Supplier 68</t>
  </si>
  <si>
    <t>Supplier 68</t>
  </si>
  <si>
    <t>Code Supplier 654</t>
  </si>
  <si>
    <t>Description 274</t>
  </si>
  <si>
    <t>Category 49</t>
  </si>
  <si>
    <t>Item 341</t>
  </si>
  <si>
    <t>Description 275</t>
  </si>
  <si>
    <t>Item 342</t>
  </si>
  <si>
    <t>Description 276</t>
  </si>
  <si>
    <t>Item 343</t>
  </si>
  <si>
    <t>Description 277</t>
  </si>
  <si>
    <t>Item 344</t>
  </si>
  <si>
    <t>Code Supplier 69</t>
  </si>
  <si>
    <t>Supplier 69</t>
  </si>
  <si>
    <t>Code Supplier 655</t>
  </si>
  <si>
    <t>Item 345</t>
  </si>
  <si>
    <t>Code Supplier 70</t>
  </si>
  <si>
    <t>Supplier 70</t>
  </si>
  <si>
    <t>Code Supplier 656</t>
  </si>
  <si>
    <t>Item 346</t>
  </si>
  <si>
    <t>Code Supplier 71</t>
  </si>
  <si>
    <t>Supplier 71</t>
  </si>
  <si>
    <t>Code Supplier 657</t>
  </si>
  <si>
    <t>Item 347</t>
  </si>
  <si>
    <t>Description 278</t>
  </si>
  <si>
    <t>Item 348</t>
  </si>
  <si>
    <t>Code Supplier 72</t>
  </si>
  <si>
    <t>Supplier 72</t>
  </si>
  <si>
    <t>Code Supplier 658</t>
  </si>
  <si>
    <t>Description 279</t>
  </si>
  <si>
    <t>Item 349</t>
  </si>
  <si>
    <t>Category 50</t>
  </si>
  <si>
    <t>Item 350</t>
  </si>
  <si>
    <t>Item 351</t>
  </si>
  <si>
    <t>Description 280</t>
  </si>
  <si>
    <t>Item 352</t>
  </si>
  <si>
    <t>Description 281</t>
  </si>
  <si>
    <t>Item 353</t>
  </si>
  <si>
    <t>Item 354</t>
  </si>
  <si>
    <t>Code Supplier 73</t>
  </si>
  <si>
    <t>Supplier 73</t>
  </si>
  <si>
    <t>Code Supplier 659</t>
  </si>
  <si>
    <t>Description 282</t>
  </si>
  <si>
    <t>Category 51</t>
  </si>
  <si>
    <t>Item 355</t>
  </si>
  <si>
    <t>Description 283</t>
  </si>
  <si>
    <t>Item 356</t>
  </si>
  <si>
    <t>Description 284</t>
  </si>
  <si>
    <t>Item 357</t>
  </si>
  <si>
    <t>Description 285</t>
  </si>
  <si>
    <t>Item 358</t>
  </si>
  <si>
    <t>Supplier 74</t>
  </si>
  <si>
    <t>Code Supplier 660</t>
  </si>
  <si>
    <t>Description 286</t>
  </si>
  <si>
    <t>Item 359</t>
  </si>
  <si>
    <t>Description 287</t>
  </si>
  <si>
    <t>Item 360</t>
  </si>
  <si>
    <t>Description 288</t>
  </si>
  <si>
    <t>Item 361</t>
  </si>
  <si>
    <t>Code Supplier 75</t>
  </si>
  <si>
    <t>Supplier 75</t>
  </si>
  <si>
    <t>Code Supplier 661</t>
  </si>
  <si>
    <t>Description 289</t>
  </si>
  <si>
    <t>Item 362</t>
  </si>
  <si>
    <t>Description 290</t>
  </si>
  <si>
    <t>Item 363</t>
  </si>
  <si>
    <t>Description 291</t>
  </si>
  <si>
    <t>Item 364</t>
  </si>
  <si>
    <t>Description 292</t>
  </si>
  <si>
    <t>Item 365</t>
  </si>
  <si>
    <t>Code Supplier 76</t>
  </si>
  <si>
    <t>Supplier 76</t>
  </si>
  <si>
    <t>Code Supplier 662</t>
  </si>
  <si>
    <t>Item 366</t>
  </si>
  <si>
    <t>Item 367</t>
  </si>
  <si>
    <t>Item 368</t>
  </si>
  <si>
    <t>Description 293</t>
  </si>
  <si>
    <t>Item 369</t>
  </si>
  <si>
    <t>Description 294</t>
  </si>
  <si>
    <t>Item 370</t>
  </si>
  <si>
    <t>Category 52</t>
  </si>
  <si>
    <t>Item 372</t>
  </si>
  <si>
    <t>Description 296</t>
  </si>
  <si>
    <t>Item 374</t>
  </si>
  <si>
    <t>Description 298</t>
  </si>
  <si>
    <t>Item 375</t>
  </si>
  <si>
    <t>Code Supplier 23</t>
  </si>
  <si>
    <t>Supplier 23</t>
  </si>
  <si>
    <t>Code Supplier 606</t>
  </si>
  <si>
    <t>Description 68</t>
  </si>
  <si>
    <t>Item 376</t>
  </si>
  <si>
    <t>Code Supplier 77</t>
  </si>
  <si>
    <t>Supplier 77</t>
  </si>
  <si>
    <t>Code Supplier 663</t>
  </si>
  <si>
    <t>Item 377</t>
  </si>
  <si>
    <t>Item 378</t>
  </si>
  <si>
    <t>Code Supplier 78</t>
  </si>
  <si>
    <t>Supplier 78</t>
  </si>
  <si>
    <t>Code Supplier 664</t>
  </si>
  <si>
    <t>Description 299</t>
  </si>
  <si>
    <t>Item 297</t>
  </si>
  <si>
    <t>Description 232</t>
  </si>
  <si>
    <t>Item 382</t>
  </si>
  <si>
    <t>Description 303</t>
  </si>
  <si>
    <t>Item 383</t>
  </si>
  <si>
    <t>Description 304</t>
  </si>
  <si>
    <t>Item 384</t>
  </si>
  <si>
    <t>Code Supplier 30</t>
  </si>
  <si>
    <t>Supplier 30</t>
  </si>
  <si>
    <t>Code Supplier 613</t>
  </si>
  <si>
    <t>Description 305</t>
  </si>
  <si>
    <t>Item 385</t>
  </si>
  <si>
    <t>Description 306</t>
  </si>
  <si>
    <t>Item 386</t>
  </si>
  <si>
    <t>Code Supplier 79</t>
  </si>
  <si>
    <t>Supplier 79</t>
  </si>
  <si>
    <t>Code Supplier 665</t>
  </si>
  <si>
    <t>Item 387</t>
  </si>
  <si>
    <t>Description 307</t>
  </si>
  <si>
    <t>Category 53</t>
  </si>
  <si>
    <t>Item 388</t>
  </si>
  <si>
    <t>Description 308</t>
  </si>
  <si>
    <t>Item 389</t>
  </si>
  <si>
    <t>Description 309</t>
  </si>
  <si>
    <t>Item 390</t>
  </si>
  <si>
    <t>Code Supplier 603</t>
  </si>
  <si>
    <t>Description 310</t>
  </si>
  <si>
    <t>Category 22</t>
  </si>
  <si>
    <t>Item 391</t>
  </si>
  <si>
    <t>Description 311</t>
  </si>
  <si>
    <t>Item 392</t>
  </si>
  <si>
    <t>Description 312</t>
  </si>
  <si>
    <t>Item 393</t>
  </si>
  <si>
    <t>Description 313</t>
  </si>
  <si>
    <t>Item 394</t>
  </si>
  <si>
    <t>Description 314</t>
  </si>
  <si>
    <t>Item 395</t>
  </si>
  <si>
    <t>Description 315</t>
  </si>
  <si>
    <t>Item 396</t>
  </si>
  <si>
    <t>Item 397</t>
  </si>
  <si>
    <t>Description 316</t>
  </si>
  <si>
    <t>Item 398</t>
  </si>
  <si>
    <t>Description 317</t>
  </si>
  <si>
    <t>Item 300</t>
  </si>
  <si>
    <t>Code Supplier 43</t>
  </si>
  <si>
    <t>Supplier 43</t>
  </si>
  <si>
    <t>Code Supplier 626</t>
  </si>
  <si>
    <t>Description 235</t>
  </si>
  <si>
    <t>Item 400</t>
  </si>
  <si>
    <t>Description 319</t>
  </si>
  <si>
    <t>Item 401</t>
  </si>
  <si>
    <t>Description 320</t>
  </si>
  <si>
    <t>Item 402</t>
  </si>
  <si>
    <t>Description 321</t>
  </si>
  <si>
    <t>Item 403</t>
  </si>
  <si>
    <t>Description 322</t>
  </si>
  <si>
    <t>Item 404</t>
  </si>
  <si>
    <t>Description 323</t>
  </si>
  <si>
    <t>Item 298</t>
  </si>
  <si>
    <t>Description 233</t>
  </si>
  <si>
    <t>Item 405</t>
  </si>
  <si>
    <t>Description 324</t>
  </si>
  <si>
    <t>Item 406</t>
  </si>
  <si>
    <t>Code Supplier 25</t>
  </si>
  <si>
    <t>Supplier 25</t>
  </si>
  <si>
    <t>Code Supplier 608</t>
  </si>
  <si>
    <t>Description 325</t>
  </si>
  <si>
    <t>Category 54</t>
  </si>
  <si>
    <t>Item 407</t>
  </si>
  <si>
    <t>Description 326</t>
  </si>
  <si>
    <t>Item 408</t>
  </si>
  <si>
    <t>Code Supplier 80</t>
  </si>
  <si>
    <t>Supplier 80</t>
  </si>
  <si>
    <t>Code Supplier 666</t>
  </si>
  <si>
    <t>Description 327</t>
  </si>
  <si>
    <t>Item 409</t>
  </si>
  <si>
    <t>Description 328</t>
  </si>
  <si>
    <t>Item 410</t>
  </si>
  <si>
    <t>Description 329</t>
  </si>
  <si>
    <t>Item 411</t>
  </si>
  <si>
    <t>Description 330</t>
  </si>
  <si>
    <t>Item 412</t>
  </si>
  <si>
    <t>Code Supplier 81</t>
  </si>
  <si>
    <t>Supplier 81</t>
  </si>
  <si>
    <t>Code Supplier 667</t>
  </si>
  <si>
    <t>Item 413</t>
  </si>
  <si>
    <t>Category 55</t>
  </si>
  <si>
    <t>Item 414</t>
  </si>
  <si>
    <t>Description 331</t>
  </si>
  <si>
    <t>Item 415</t>
  </si>
  <si>
    <t>Code Supplier 82</t>
  </si>
  <si>
    <t>Supplier 82</t>
  </si>
  <si>
    <t>Code Supplier 668</t>
  </si>
  <si>
    <t>Description 332</t>
  </si>
  <si>
    <t>Item 416</t>
  </si>
  <si>
    <t>Description 333</t>
  </si>
  <si>
    <t>Item 417</t>
  </si>
  <si>
    <t>Item 418</t>
  </si>
  <si>
    <t>Item 419</t>
  </si>
  <si>
    <t>Item 420</t>
  </si>
  <si>
    <t>Item 421</t>
  </si>
  <si>
    <t>Description 334</t>
  </si>
  <si>
    <t>Item 422</t>
  </si>
  <si>
    <t>Item 423</t>
  </si>
  <si>
    <t>Description 335</t>
  </si>
  <si>
    <t>Item 424</t>
  </si>
  <si>
    <t>Description 336</t>
  </si>
  <si>
    <t>Item 425</t>
  </si>
  <si>
    <t>Description 337</t>
  </si>
  <si>
    <t>Item 426</t>
  </si>
  <si>
    <t>Code Supplier 83</t>
  </si>
  <si>
    <t>Supplier 83</t>
  </si>
  <si>
    <t>Code Supplier 669</t>
  </si>
  <si>
    <t>Description 338</t>
  </si>
  <si>
    <t>Item 428</t>
  </si>
  <si>
    <t>Description 340</t>
  </si>
  <si>
    <t>Item 429</t>
  </si>
  <si>
    <t>Code Supplier 84</t>
  </si>
  <si>
    <t>Supplier 84</t>
  </si>
  <si>
    <t>Code Supplier 670</t>
  </si>
  <si>
    <t>Description 341</t>
  </si>
  <si>
    <t>Item 430</t>
  </si>
  <si>
    <t>Code Supplier 85</t>
  </si>
  <si>
    <t>Supplier 85</t>
  </si>
  <si>
    <t>Code Supplier 671</t>
  </si>
  <si>
    <t>Item 431</t>
  </si>
  <si>
    <t>Item 432</t>
  </si>
  <si>
    <t>Code Supplier 86</t>
  </si>
  <si>
    <t>Supplier 86</t>
  </si>
  <si>
    <t>Code Supplier 672</t>
  </si>
  <si>
    <t>Item 433</t>
  </si>
  <si>
    <t>Description 342</t>
  </si>
  <si>
    <t>Item 434</t>
  </si>
  <si>
    <t>Code Supplier 87</t>
  </si>
  <si>
    <t>Supplier 87</t>
  </si>
  <si>
    <t>Code Supplier 673</t>
  </si>
  <si>
    <t>Description 343</t>
  </si>
  <si>
    <t>Item 437</t>
  </si>
  <si>
    <t>Code Supplier 89</t>
  </si>
  <si>
    <t>Supplier 89</t>
  </si>
  <si>
    <t>Code Supplier 675</t>
  </si>
  <si>
    <t>Description 346</t>
  </si>
  <si>
    <t>Item 69</t>
  </si>
  <si>
    <t>Description 62</t>
  </si>
  <si>
    <t>Item 72</t>
  </si>
  <si>
    <t>Code Supplier 604</t>
  </si>
  <si>
    <t>Description 65</t>
  </si>
  <si>
    <t>Item 74</t>
  </si>
  <si>
    <t>Description 67</t>
  </si>
  <si>
    <t>Item 78</t>
  </si>
  <si>
    <t>Description 70</t>
  </si>
  <si>
    <t>Item 79</t>
  </si>
  <si>
    <t>Description 71</t>
  </si>
  <si>
    <t>Item 94</t>
  </si>
  <si>
    <t>Description 84</t>
  </si>
  <si>
    <t>Item 95</t>
  </si>
  <si>
    <t>Description 85</t>
  </si>
  <si>
    <t>Item 96</t>
  </si>
  <si>
    <t>Item 97</t>
  </si>
  <si>
    <t>Description 86</t>
  </si>
  <si>
    <t>Item 98</t>
  </si>
  <si>
    <t>Description 87</t>
  </si>
  <si>
    <t>Item 99</t>
  </si>
  <si>
    <t>Description 88</t>
  </si>
  <si>
    <t>Item 100</t>
  </si>
  <si>
    <t>Description 89</t>
  </si>
  <si>
    <t>Item 101</t>
  </si>
  <si>
    <t>Description 90</t>
  </si>
  <si>
    <t>Item 102</t>
  </si>
  <si>
    <t>Description 91</t>
  </si>
  <si>
    <t>Item 103</t>
  </si>
  <si>
    <t>Description 92</t>
  </si>
  <si>
    <t>Item 104</t>
  </si>
  <si>
    <t>Description 93</t>
  </si>
  <si>
    <t>Item 105</t>
  </si>
  <si>
    <t>Description 94</t>
  </si>
  <si>
    <t>Item 106</t>
  </si>
  <si>
    <t>Description 95</t>
  </si>
  <si>
    <t>Item 107</t>
  </si>
  <si>
    <t>Description 96</t>
  </si>
  <si>
    <t>Item 108</t>
  </si>
  <si>
    <t>Description 97</t>
  </si>
  <si>
    <t>Item 109</t>
  </si>
  <si>
    <t>Description 98</t>
  </si>
  <si>
    <t>Item 110</t>
  </si>
  <si>
    <t>Description 99</t>
  </si>
  <si>
    <t>Item 90</t>
  </si>
  <si>
    <t>Description 80</t>
  </si>
  <si>
    <t>Item 120</t>
  </si>
  <si>
    <t>Description 109</t>
  </si>
  <si>
    <t>Item 119</t>
  </si>
  <si>
    <t>Description 108</t>
  </si>
  <si>
    <t>Item 371</t>
  </si>
  <si>
    <t>Description 295</t>
  </si>
  <si>
    <t>Item 379</t>
  </si>
  <si>
    <t>Description 300</t>
  </si>
  <si>
    <t>Item 381</t>
  </si>
  <si>
    <t>Description 302</t>
  </si>
  <si>
    <t>Item 76</t>
  </si>
  <si>
    <t>Item 84</t>
  </si>
  <si>
    <t>Code Supplier 29</t>
  </si>
  <si>
    <t>Supplier 29</t>
  </si>
  <si>
    <t>Code Supplier 611</t>
  </si>
  <si>
    <t>Description 75</t>
  </si>
  <si>
    <t>Item 87</t>
  </si>
  <si>
    <t>Item 111</t>
  </si>
  <si>
    <t>Description 100</t>
  </si>
  <si>
    <t>Item 161</t>
  </si>
  <si>
    <t>Description 146</t>
  </si>
  <si>
    <t>Item 89</t>
  </si>
  <si>
    <t>Description 79</t>
  </si>
  <si>
    <t>Item 204</t>
  </si>
  <si>
    <t>Description 178</t>
  </si>
  <si>
    <t>Item 299</t>
  </si>
  <si>
    <t>Description 234</t>
  </si>
  <si>
    <t>Item 380</t>
  </si>
  <si>
    <t>Description 301</t>
  </si>
  <si>
    <t>Item 75</t>
  </si>
  <si>
    <t>Item 83</t>
  </si>
  <si>
    <t>Description 74</t>
  </si>
  <si>
    <t>Item 194</t>
  </si>
  <si>
    <t>Code Supplier 48</t>
  </si>
  <si>
    <t>Supplier 48</t>
  </si>
  <si>
    <t>Code Supplier 631</t>
  </si>
  <si>
    <t>Item 197</t>
  </si>
  <si>
    <t>Item 198</t>
  </si>
  <si>
    <t>Description 173</t>
  </si>
  <si>
    <t>Item 301</t>
  </si>
  <si>
    <t>Description 236</t>
  </si>
  <si>
    <t>Item 302</t>
  </si>
  <si>
    <t>Description 237</t>
  </si>
  <si>
    <t>Item 303</t>
  </si>
  <si>
    <t>Description 238</t>
  </si>
  <si>
    <t>Item 304</t>
  </si>
  <si>
    <t>Description 239</t>
  </si>
  <si>
    <t>Item 373</t>
  </si>
  <si>
    <t>Description 297</t>
  </si>
  <si>
    <t>Item 399</t>
  </si>
  <si>
    <t>Description 318</t>
  </si>
  <si>
    <t>Item 427</t>
  </si>
  <si>
    <t>Description 339</t>
  </si>
  <si>
    <t>Item 435</t>
  </si>
  <si>
    <t>Code Supplier 88</t>
  </si>
  <si>
    <t>Supplier 88</t>
  </si>
  <si>
    <t>Code Supplier 674</t>
  </si>
  <si>
    <t>Description 344</t>
  </si>
  <si>
    <t>Item 436</t>
  </si>
  <si>
    <t>Description 345</t>
  </si>
  <si>
    <t>Item 88</t>
  </si>
  <si>
    <t>Description 78</t>
  </si>
  <si>
    <t>Item 193</t>
  </si>
  <si>
    <t>Description 169</t>
  </si>
  <si>
    <t>Item 196</t>
  </si>
  <si>
    <t>Code Supplier 632</t>
  </si>
  <si>
    <t>Description 172</t>
  </si>
  <si>
    <t>Item 199</t>
  </si>
  <si>
    <t>Code Supplier 633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</si>
</sst>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-yy;@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2" fillId="2" borderId="2" xfId="0" applyFont="1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Alignment="1">
      <alignment horizontal="center" vertical="center"/>
    </xf>
    <xf numFmtId="2" fontId="0" fillId="0" borderId="0" xfId="0" applyNumberFormat="1"/>
    <xf numFmtId="164" fontId="0" fillId="0" borderId="0" xfId="0" quotePrefix="1" applyNumberFormat="1"/>
    <xf numFmtId="2" fontId="0" fillId="2" borderId="0" xfId="0" applyNumberFormat="1" applyFill="1"/>
    <xf numFmtId="10" fontId="0" fillId="2" borderId="0" xfId="1" applyNumberFormat="1" applyFont="1" applyFill="1"/>
    <xf numFmtId="164" fontId="0" fillId="0" borderId="0" xfId="0" applyNumberFormat="1"/>
    <xf numFmtId="14" fontId="0" fillId="0" borderId="0" xfId="0" applyNumberFormat="1"/>
    <xf numFmtId="9" fontId="0" fillId="0" borderId="0" xfId="1" applyFont="1"/>
    <xf numFmtId="0" fontId="0" fillId="2" borderId="0" xfId="0" applyFill="1"/>
  </cellXfs>
  <cellStyles count="2">
    <cellStyle name="Normal" xfId="0" builtinId="0"/>
    <cellStyle name="Percent" xfId="1" builtinId="5"/>
  </cellStyles>
  <dxfs count="2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</dxf>
    <dxf>
      <numFmt numFmtId="14" formatCode="0.00%"/>
      <fill>
        <patternFill patternType="solid">
          <fgColor indexed="64"/>
          <bgColor rgb="FFFFFF00"/>
        </patternFill>
      </fill>
    </dxf>
    <dxf>
      <numFmt numFmtId="2" formatCode="0.00"/>
      <fill>
        <patternFill>
          <fgColor indexed="64"/>
          <bgColor rgb="FFFFFF00"/>
        </patternFill>
      </fill>
    </dxf>
    <dxf>
      <numFmt numFmtId="0" formatCode="General"/>
    </dxf>
    <dxf>
      <alignment horizontal="center" vertical="center" textRotation="0" wrapText="0" indent="0" justifyLastLine="0" shrinkToFit="0" readingOrder="0"/>
    </dxf>
    <dxf>
      <numFmt numFmtId="0" formatCode="General"/>
    </dxf>
    <dxf>
      <numFmt numFmtId="164" formatCode="[$-409]mmmm\-yy;@"/>
    </dxf>
    <dxf>
      <numFmt numFmtId="2" formatCode="0.00"/>
      <fill>
        <patternFill patternType="none">
          <fgColor indexed="64"/>
          <bgColor auto="1"/>
        </patternFill>
      </fill>
    </dxf>
    <dxf>
      <numFmt numFmtId="0" formatCode="General"/>
    </dxf>
    <dxf>
      <border outline="0">
        <top style="medium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22A90E1-10BC-438F-AB73-33E54CE3D6D2}" autoFormatId="16" applyNumberFormats="0" applyBorderFormats="0" applyFontFormats="0" applyPatternFormats="0" applyAlignmentFormats="0" applyWidthHeightFormats="0">
  <queryTableRefresh nextId="16">
    <queryTableFields count="15">
      <queryTableField id="1" name="Part Number" tableColumnId="1"/>
      <queryTableField id="2" name="Price - Actual" tableColumnId="2"/>
      <queryTableField id="3" name="CURRENCY - Actual" tableColumnId="3"/>
      <queryTableField id="4" name="Month/2026" tableColumnId="4"/>
      <queryTableField id="5" name="Volume" tableColumnId="5"/>
      <queryTableField id="6" name="Supplier Code" tableColumnId="6"/>
      <queryTableField id="7" name="Supplier Name" tableColumnId="7"/>
      <queryTableField id="8" name="Buyer" tableColumnId="8"/>
      <queryTableField id="9" name="Part Number - ERP" tableColumnId="9"/>
      <queryTableField id="10" name="Price - ERP" tableColumnId="10"/>
      <queryTableField id="11" name="CURRENCY - ERP" tableColumnId="11"/>
      <queryTableField id="12" name="DESCRIPTION" tableColumnId="12"/>
      <queryTableField id="13" name="Regional / Global" tableColumnId="13"/>
      <queryTableField id="14" name="Local / Oversea" tableColumnId="14"/>
      <queryTableField id="15" name="Category" tableColumnId="1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88476BE-91C3-439B-A072-CD2748C44D53}" name="insert" displayName="insert" ref="A1:O11" tableType="queryTable" totalsRowShown="0">
  <autoFilter ref="A1:O11" xr:uid="{488476BE-91C3-439B-A072-CD2748C44D53}"/>
  <tableColumns count="15">
    <tableColumn id="1" xr3:uid="{DDA0DCBC-7C36-4DA8-BF84-73F8A7181C04}" uniqueName="1" name="Part Number" queryTableFieldId="1" dataDxfId="11"/>
    <tableColumn id="2" xr3:uid="{D74D2C93-7DE1-4714-A5F6-2F913BD75472}" uniqueName="2" name="Price - Actual" queryTableFieldId="2"/>
    <tableColumn id="3" xr3:uid="{7600ACED-EEEE-49FC-9344-6BF287925A81}" uniqueName="3" name="CURRENCY - Actual" queryTableFieldId="3" dataDxfId="10"/>
    <tableColumn id="4" xr3:uid="{906A4D76-07FD-4EDF-92DC-1CE1FCC28103}" uniqueName="4" name="Month/2026" queryTableFieldId="4" dataDxfId="9"/>
    <tableColumn id="5" xr3:uid="{9065B04B-B3AD-4472-ACD2-29C44406FA7B}" uniqueName="5" name="Volume" queryTableFieldId="5"/>
    <tableColumn id="6" xr3:uid="{9787F18E-5466-46C3-B42E-61F53AA8A43A}" uniqueName="6" name="Supplier Code" queryTableFieldId="6" dataDxfId="8"/>
    <tableColumn id="7" xr3:uid="{8B6D0E35-53E3-42A7-A121-ABC5E37467AB}" uniqueName="7" name="Supplier Name" queryTableFieldId="7" dataDxfId="7"/>
    <tableColumn id="8" xr3:uid="{B98FAF58-3DFF-437E-943B-9D9AD9DC0E68}" uniqueName="8" name="Buyer" queryTableFieldId="8" dataDxfId="6"/>
    <tableColumn id="9" xr3:uid="{2153C094-13E0-4E6E-A96A-D0BF118F3B31}" uniqueName="9" name="Part Number - ERP" queryTableFieldId="9" dataDxfId="5"/>
    <tableColumn id="10" xr3:uid="{BDEAEC2B-75A0-4F83-8564-83CD8FA1F207}" uniqueName="10" name="Price - ERP" queryTableFieldId="10"/>
    <tableColumn id="11" xr3:uid="{6CA8054D-F823-4C88-9D08-169F75180EE5}" uniqueName="11" name="CURRENCY - ERP" queryTableFieldId="11" dataDxfId="4"/>
    <tableColumn id="12" xr3:uid="{733E326B-1BEB-43B1-8E5C-BDDA61D5B85E}" uniqueName="12" name="DESCRIPTION" queryTableFieldId="12" dataDxfId="3"/>
    <tableColumn id="13" xr3:uid="{4764EC3D-0014-4C9B-AD32-F11A817B11BA}" uniqueName="13" name="Regional / Global" queryTableFieldId="13" dataDxfId="2"/>
    <tableColumn id="14" xr3:uid="{BC2566A6-3565-48C6-B219-925E0D6D00BE}" uniqueName="14" name="Local / Oversea" queryTableFieldId="14" dataDxfId="1"/>
    <tableColumn id="15" xr3:uid="{7E4896D7-8243-4DA5-8475-D224785A2C21}" uniqueName="15" name="Category" queryTableFieldId="1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316F22-F07F-4C01-84F3-85B89339F53D}" name="PD" displayName="PD" ref="B2:AC1007" totalsRowShown="0" tableBorderDxfId="24">
  <autoFilter ref="B2:AC1007" xr:uid="{86C7F509-B6CA-412A-BEAA-8C7AE9AAD2D8}"/>
  <tableColumns count="28">
    <tableColumn id="2" xr3:uid="{DD28A4C0-2CA0-4013-B2C8-37B45BA06717}" name="Part Number" dataDxfId="23"/>
    <tableColumn id="3" xr3:uid="{614796FB-B3C8-49A9-97E7-D35F9A601325}" name="Price - Actual"/>
    <tableColumn id="4" xr3:uid="{6D4C11FC-79E8-44CA-9091-5199C34C65FA}" name="CURRENCY - Actual"/>
    <tableColumn id="5" xr3:uid="{051E6FB7-F0F2-4F79-A055-BA14D38892C0}" name="Actual Price IN SEK" dataDxfId="22"/>
    <tableColumn id="29" xr3:uid="{03BE033B-90B8-4353-9C95-8C289763CB4F}" name="Measure - Actual"/>
    <tableColumn id="6" xr3:uid="{C17E75A5-3B45-4D23-BF78-9C8C28B4D8CC}" name="Month/2026" dataDxfId="21"/>
    <tableColumn id="7" xr3:uid="{60944A21-3904-41D9-8A76-E328E29D2A6C}" name="Volume"/>
    <tableColumn id="8" xr3:uid="{20687335-F84C-48B2-BDEC-D118809BA9FD}" name="SPEND - Actual"/>
    <tableColumn id="9" xr3:uid="{E3F16D60-3469-4385-8BF7-8F6C04D1E4D4}" name="SPEND - Actual SEK"/>
    <tableColumn id="30" xr3:uid="{1B11E18B-3DD8-45A8-AAD3-F0BEA2CEE829}" name="Supplier Code" dataDxfId="20"/>
    <tableColumn id="31" xr3:uid="{686D5C27-CB01-4932-890E-79513D82D955}" name="Supplier Name" dataDxfId="19"/>
    <tableColumn id="32" xr3:uid="{790FBEB8-CA91-47E1-B387-7F77C7D86C35}" name="Buyer" dataDxfId="18"/>
    <tableColumn id="13" xr3:uid="{EE9D6EAA-8A55-4F39-B125-6BD0EA8466C9}" name="|Difference SEK|" dataDxfId="17">
      <calculatedColumnFormula>ABS(PD[[#This Row],[Actual Price IN SEK]]-PD[[#This Row],[ERP Price IN SEK]])</calculatedColumnFormula>
    </tableColumn>
    <tableColumn id="14" xr3:uid="{EB990204-3480-418D-8151-A786C6AC9771}" name="|Difference%|" dataDxfId="16" dataCellStyle="Percent">
      <calculatedColumnFormula>ABS(PD[[#This Row],[ERP Price IN SEK]]-PD[[#This Row],[Actual Price IN SEK]])/PD[[#This Row],[Actual Price IN SEK]]</calculatedColumnFormula>
    </tableColumn>
    <tableColumn id="15" xr3:uid="{9B8DE546-1344-4384-BC72-69465C1EF5F1}" name="Part Number - ERP" dataDxfId="15"/>
    <tableColumn id="16" xr3:uid="{9E61A073-4D44-43AD-A37D-961F6EEF9137}" name="Price - ERP"/>
    <tableColumn id="26" xr3:uid="{79003E10-8605-4A0E-B10B-5A74D5F3E8DD}" name="Price - ERP PC">
      <calculatedColumnFormula>PD[[#This Row],[Price - ERP]]/IF(PD[[#This Row],[Measure - ERP]]="MI",1000,IF(PD[[#This Row],[Measure - ERP]]="CT",100,1))</calculatedColumnFormula>
    </tableColumn>
    <tableColumn id="17" xr3:uid="{A0E475C9-0794-48FA-A9D6-F6B607312CC4}" name="CURRENCY - ERP"/>
    <tableColumn id="18" xr3:uid="{5FD0D67D-7AE9-4D27-A4E4-1E31124972CC}" name="ERP Price IN SEK"/>
    <tableColumn id="19" xr3:uid="{09B11CB3-0F2A-494C-88F3-E06633EB0971}" name="SPEND - ERP"/>
    <tableColumn id="20" xr3:uid="{E75717FA-CF4A-4DD8-A4BE-032DE3F1AC7B}" name="SPEND - ERP SEK"/>
    <tableColumn id="27" xr3:uid="{76A2F313-B3C3-4E57-8D79-5BBE1E1638DC}" name="Measure - ERP"/>
    <tableColumn id="33" xr3:uid="{31B256E8-4091-4013-97A1-BC43BC36FA70}" name="Supplier Code ERP" dataDxfId="14"/>
    <tableColumn id="34" xr3:uid="{A35503D6-2926-4B94-8643-38436D1773F1}" name="DESCRIPTION" dataDxfId="13"/>
    <tableColumn id="23" xr3:uid="{FDDC42E3-E9E7-4F3F-AC0C-44430DA04A9D}" name="COMPARE SUP&amp;Price">
      <calculatedColumnFormula>AND(PD[[#This Row],[Supplier Code ERP]]=PD[[#This Row],[Supplier Code]],$T3=$E3)</calculatedColumnFormula>
    </tableColumn>
    <tableColumn id="24" xr3:uid="{0807B64B-F679-4FD3-B135-1D055F0240A6}" name="Regional / Global"/>
    <tableColumn id="25" xr3:uid="{1889F97C-3259-4F5C-91D3-6C26C9CBF0B9}" name="Local /Oversea "/>
    <tableColumn id="35" xr3:uid="{5095431A-9FB8-4729-99CF-B9492D039011}" name="Category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987A6-0939-46A4-BF95-27287F92002C}">
  <dimension ref="A1:O11"/>
  <sheetViews>
    <sheetView topLeftCell="C1" workbookViewId="0">
      <selection activeCell="A2" sqref="A2:O11"/>
    </sheetView>
  </sheetViews>
  <sheetFormatPr defaultRowHeight="14.5" x14ac:dyDescent="0.35"/>
  <cols>
    <col min="1" max="1" width="14" bestFit="1" customWidth="1"/>
    <col min="2" max="2" width="14.26953125" bestFit="1" customWidth="1"/>
    <col min="3" max="3" width="19.453125" bestFit="1" customWidth="1"/>
    <col min="4" max="4" width="13.6328125" bestFit="1" customWidth="1"/>
    <col min="5" max="5" width="9.90625" bestFit="1" customWidth="1"/>
    <col min="6" max="6" width="15.26953125" bestFit="1" customWidth="1"/>
    <col min="7" max="7" width="15.90625" bestFit="1" customWidth="1"/>
    <col min="8" max="8" width="8.1796875" bestFit="1" customWidth="1"/>
    <col min="9" max="9" width="18.90625" bestFit="1" customWidth="1"/>
    <col min="10" max="10" width="12.08984375" bestFit="1" customWidth="1"/>
    <col min="11" max="11" width="17.1796875" bestFit="1" customWidth="1"/>
    <col min="12" max="12" width="19.08984375" bestFit="1" customWidth="1"/>
    <col min="13" max="13" width="18" bestFit="1" customWidth="1"/>
    <col min="14" max="14" width="16.1796875" bestFit="1" customWidth="1"/>
    <col min="15" max="15" width="10.72656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5</v>
      </c>
      <c r="E1" t="s">
        <v>6</v>
      </c>
      <c r="F1" t="s">
        <v>9</v>
      </c>
      <c r="G1" t="s">
        <v>10</v>
      </c>
      <c r="H1" t="s">
        <v>11</v>
      </c>
      <c r="I1" t="s">
        <v>14</v>
      </c>
      <c r="J1" t="s">
        <v>15</v>
      </c>
      <c r="K1" t="s">
        <v>17</v>
      </c>
      <c r="L1" t="s">
        <v>23</v>
      </c>
      <c r="M1" t="s">
        <v>25</v>
      </c>
      <c r="N1" t="s">
        <v>63</v>
      </c>
      <c r="O1" t="s">
        <v>27</v>
      </c>
    </row>
    <row r="2" spans="1:15" x14ac:dyDescent="0.35">
      <c r="A2" t="s">
        <v>64</v>
      </c>
      <c r="B2">
        <v>21550</v>
      </c>
      <c r="C2" t="s">
        <v>29</v>
      </c>
      <c r="D2" s="15">
        <v>46027</v>
      </c>
      <c r="E2">
        <v>1200</v>
      </c>
      <c r="F2" t="s">
        <v>65</v>
      </c>
      <c r="G2" t="s">
        <v>66</v>
      </c>
      <c r="H2" t="s">
        <v>67</v>
      </c>
      <c r="I2" t="s">
        <v>64</v>
      </c>
      <c r="J2">
        <v>21025</v>
      </c>
      <c r="K2" t="s">
        <v>29</v>
      </c>
      <c r="L2" t="s">
        <v>68</v>
      </c>
      <c r="M2" t="s">
        <v>35</v>
      </c>
      <c r="N2" t="s">
        <v>36</v>
      </c>
      <c r="O2" t="s">
        <v>69</v>
      </c>
    </row>
    <row r="3" spans="1:15" x14ac:dyDescent="0.35">
      <c r="A3" t="s">
        <v>70</v>
      </c>
      <c r="B3">
        <v>9875</v>
      </c>
      <c r="C3" t="s">
        <v>71</v>
      </c>
      <c r="D3" s="15">
        <v>46027</v>
      </c>
      <c r="E3">
        <v>4500</v>
      </c>
      <c r="F3" t="s">
        <v>72</v>
      </c>
      <c r="G3" t="s">
        <v>73</v>
      </c>
      <c r="H3" t="s">
        <v>74</v>
      </c>
      <c r="I3" t="s">
        <v>70</v>
      </c>
      <c r="J3">
        <v>10120</v>
      </c>
      <c r="K3" t="s">
        <v>71</v>
      </c>
      <c r="L3" t="s">
        <v>75</v>
      </c>
      <c r="M3" t="s">
        <v>44</v>
      </c>
      <c r="N3" t="s">
        <v>45</v>
      </c>
      <c r="O3" t="s">
        <v>76</v>
      </c>
    </row>
    <row r="4" spans="1:15" x14ac:dyDescent="0.35">
      <c r="A4" t="s">
        <v>77</v>
      </c>
      <c r="B4">
        <v>5430</v>
      </c>
      <c r="C4" t="s">
        <v>39</v>
      </c>
      <c r="D4" s="15">
        <v>46027</v>
      </c>
      <c r="E4">
        <v>8900</v>
      </c>
      <c r="F4" t="s">
        <v>78</v>
      </c>
      <c r="G4" t="s">
        <v>79</v>
      </c>
      <c r="H4" t="s">
        <v>80</v>
      </c>
      <c r="I4" t="s">
        <v>77</v>
      </c>
      <c r="J4">
        <v>5280</v>
      </c>
      <c r="K4" t="s">
        <v>39</v>
      </c>
      <c r="L4" t="s">
        <v>81</v>
      </c>
      <c r="M4" t="s">
        <v>44</v>
      </c>
      <c r="N4" t="s">
        <v>45</v>
      </c>
      <c r="O4" t="s">
        <v>82</v>
      </c>
    </row>
    <row r="5" spans="1:15" x14ac:dyDescent="0.35">
      <c r="A5" t="s">
        <v>83</v>
      </c>
      <c r="B5">
        <v>41200</v>
      </c>
      <c r="C5" t="s">
        <v>29</v>
      </c>
      <c r="D5" s="15">
        <v>46027</v>
      </c>
      <c r="E5">
        <v>750</v>
      </c>
      <c r="F5" t="s">
        <v>84</v>
      </c>
      <c r="G5" t="s">
        <v>85</v>
      </c>
      <c r="H5" t="s">
        <v>86</v>
      </c>
      <c r="I5" t="s">
        <v>83</v>
      </c>
      <c r="J5">
        <v>40500</v>
      </c>
      <c r="K5" t="s">
        <v>29</v>
      </c>
      <c r="L5" t="s">
        <v>87</v>
      </c>
      <c r="M5" t="s">
        <v>35</v>
      </c>
      <c r="N5" t="s">
        <v>36</v>
      </c>
      <c r="O5" t="s">
        <v>88</v>
      </c>
    </row>
    <row r="6" spans="1:15" x14ac:dyDescent="0.35">
      <c r="A6" t="s">
        <v>89</v>
      </c>
      <c r="B6">
        <v>6780</v>
      </c>
      <c r="C6" t="s">
        <v>71</v>
      </c>
      <c r="D6" s="15">
        <v>46027</v>
      </c>
      <c r="E6">
        <v>2200</v>
      </c>
      <c r="F6" t="s">
        <v>90</v>
      </c>
      <c r="G6" t="s">
        <v>91</v>
      </c>
      <c r="H6" t="s">
        <v>92</v>
      </c>
      <c r="I6" t="s">
        <v>89</v>
      </c>
      <c r="J6">
        <v>7015</v>
      </c>
      <c r="K6" t="s">
        <v>71</v>
      </c>
      <c r="L6" t="s">
        <v>93</v>
      </c>
      <c r="M6" t="s">
        <v>44</v>
      </c>
      <c r="N6" t="s">
        <v>36</v>
      </c>
      <c r="O6" t="s">
        <v>94</v>
      </c>
    </row>
    <row r="7" spans="1:15" x14ac:dyDescent="0.35">
      <c r="A7" t="s">
        <v>95</v>
      </c>
      <c r="B7">
        <v>18825</v>
      </c>
      <c r="C7" t="s">
        <v>29</v>
      </c>
      <c r="D7" s="15">
        <v>46027</v>
      </c>
      <c r="E7">
        <v>3100</v>
      </c>
      <c r="F7" t="s">
        <v>96</v>
      </c>
      <c r="G7" t="s">
        <v>97</v>
      </c>
      <c r="H7" t="s">
        <v>98</v>
      </c>
      <c r="I7" t="s">
        <v>95</v>
      </c>
      <c r="J7">
        <v>18000</v>
      </c>
      <c r="K7" t="s">
        <v>29</v>
      </c>
      <c r="L7" t="s">
        <v>99</v>
      </c>
      <c r="M7" t="s">
        <v>35</v>
      </c>
      <c r="N7" t="s">
        <v>36</v>
      </c>
      <c r="O7" t="s">
        <v>69</v>
      </c>
    </row>
    <row r="8" spans="1:15" x14ac:dyDescent="0.35">
      <c r="A8" t="s">
        <v>100</v>
      </c>
      <c r="B8">
        <v>2390</v>
      </c>
      <c r="C8" t="s">
        <v>39</v>
      </c>
      <c r="D8" s="15">
        <v>46027</v>
      </c>
      <c r="E8">
        <v>14500</v>
      </c>
      <c r="F8" t="s">
        <v>101</v>
      </c>
      <c r="G8" t="s">
        <v>102</v>
      </c>
      <c r="H8" t="s">
        <v>103</v>
      </c>
      <c r="I8" t="s">
        <v>100</v>
      </c>
      <c r="J8">
        <v>2410</v>
      </c>
      <c r="K8" t="s">
        <v>39</v>
      </c>
      <c r="L8" t="s">
        <v>104</v>
      </c>
      <c r="M8" t="s">
        <v>44</v>
      </c>
      <c r="N8" t="s">
        <v>45</v>
      </c>
      <c r="O8" t="s">
        <v>76</v>
      </c>
    </row>
    <row r="9" spans="1:15" x14ac:dyDescent="0.35">
      <c r="A9" t="s">
        <v>105</v>
      </c>
      <c r="B9">
        <v>32940</v>
      </c>
      <c r="C9" t="s">
        <v>29</v>
      </c>
      <c r="D9" s="15">
        <v>46027</v>
      </c>
      <c r="E9">
        <v>980</v>
      </c>
      <c r="F9" t="s">
        <v>106</v>
      </c>
      <c r="G9" t="s">
        <v>107</v>
      </c>
      <c r="H9" t="s">
        <v>108</v>
      </c>
      <c r="I9" t="s">
        <v>105</v>
      </c>
      <c r="J9">
        <v>33500</v>
      </c>
      <c r="K9" t="s">
        <v>29</v>
      </c>
      <c r="L9" t="s">
        <v>109</v>
      </c>
      <c r="M9" t="s">
        <v>35</v>
      </c>
      <c r="N9" t="s">
        <v>36</v>
      </c>
      <c r="O9" t="s">
        <v>82</v>
      </c>
    </row>
    <row r="10" spans="1:15" x14ac:dyDescent="0.35">
      <c r="A10" t="s">
        <v>110</v>
      </c>
      <c r="B10">
        <v>14060</v>
      </c>
      <c r="C10" t="s">
        <v>71</v>
      </c>
      <c r="D10" s="15">
        <v>46027</v>
      </c>
      <c r="E10">
        <v>1800</v>
      </c>
      <c r="F10" t="s">
        <v>111</v>
      </c>
      <c r="G10" t="s">
        <v>112</v>
      </c>
      <c r="H10" t="s">
        <v>113</v>
      </c>
      <c r="I10" t="s">
        <v>110</v>
      </c>
      <c r="J10">
        <v>13990</v>
      </c>
      <c r="K10" t="s">
        <v>71</v>
      </c>
      <c r="L10" t="s">
        <v>114</v>
      </c>
      <c r="M10" t="s">
        <v>44</v>
      </c>
      <c r="N10" t="s">
        <v>45</v>
      </c>
      <c r="O10" t="s">
        <v>88</v>
      </c>
    </row>
    <row r="11" spans="1:15" x14ac:dyDescent="0.35">
      <c r="A11" t="s">
        <v>115</v>
      </c>
      <c r="B11">
        <v>7845</v>
      </c>
      <c r="C11" t="s">
        <v>39</v>
      </c>
      <c r="D11" s="15">
        <v>46027</v>
      </c>
      <c r="E11">
        <v>6400</v>
      </c>
      <c r="F11" t="s">
        <v>116</v>
      </c>
      <c r="G11" t="s">
        <v>117</v>
      </c>
      <c r="H11" t="s">
        <v>118</v>
      </c>
      <c r="I11" t="s">
        <v>115</v>
      </c>
      <c r="J11">
        <v>8020</v>
      </c>
      <c r="K11" t="s">
        <v>39</v>
      </c>
      <c r="L11" t="s">
        <v>119</v>
      </c>
      <c r="M11" t="s">
        <v>44</v>
      </c>
      <c r="N11" t="s">
        <v>36</v>
      </c>
      <c r="O11" t="s">
        <v>94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EE000-4FB4-464C-85AD-B819C7597353}">
  <dimension ref="B2:AC12271"/>
  <sheetViews>
    <sheetView tabSelected="1" topLeftCell="A970" zoomScaleNormal="100" workbookViewId="0">
      <selection activeCell="H1007" sqref="H1007"/>
    </sheetView>
  </sheetViews>
  <sheetFormatPr defaultRowHeight="14.5" x14ac:dyDescent="0.35"/>
  <cols>
    <col min="1" max="1" width="2.81640625" customWidth="1"/>
    <col min="2" max="2" width="14" bestFit="1" customWidth="1"/>
    <col min="3" max="3" width="14.26953125" bestFit="1" customWidth="1"/>
    <col min="4" max="4" width="19.453125" bestFit="1" customWidth="1"/>
    <col min="5" max="5" width="19.1796875" bestFit="1" customWidth="1"/>
    <col min="6" max="6" width="17.7265625" bestFit="1" customWidth="1"/>
    <col min="7" max="7" width="13.6328125" bestFit="1" customWidth="1"/>
    <col min="8" max="8" width="9.90625" bestFit="1" customWidth="1"/>
    <col min="9" max="9" width="15.81640625" bestFit="1" customWidth="1"/>
    <col min="10" max="10" width="19.36328125" bestFit="1" customWidth="1"/>
    <col min="11" max="11" width="16.1796875" bestFit="1" customWidth="1"/>
    <col min="12" max="12" width="15.90625" bestFit="1" customWidth="1"/>
    <col min="13" max="13" width="8.1796875" bestFit="1" customWidth="1"/>
    <col min="14" max="14" width="17.7265625" bestFit="1" customWidth="1"/>
    <col min="15" max="15" width="15.81640625" bestFit="1" customWidth="1"/>
    <col min="16" max="16" width="18.90625" bestFit="1" customWidth="1"/>
    <col min="17" max="17" width="12.08984375" bestFit="1" customWidth="1"/>
    <col min="18" max="18" width="14.81640625" bestFit="1" customWidth="1"/>
    <col min="19" max="19" width="17.1796875" bestFit="1" customWidth="1"/>
    <col min="20" max="20" width="16.90625" bestFit="1" customWidth="1"/>
    <col min="21" max="21" width="13.453125" bestFit="1" customWidth="1"/>
    <col min="22" max="22" width="17" bestFit="1" customWidth="1"/>
    <col min="23" max="23" width="15.54296875" bestFit="1" customWidth="1"/>
    <col min="24" max="24" width="18.90625" bestFit="1" customWidth="1"/>
    <col min="25" max="25" width="14.453125" bestFit="1" customWidth="1"/>
    <col min="26" max="26" width="21.6328125" bestFit="1" customWidth="1"/>
    <col min="27" max="27" width="18" bestFit="1" customWidth="1"/>
    <col min="28" max="28" width="16.1796875" bestFit="1" customWidth="1"/>
    <col min="29" max="29" width="10.7265625" bestFit="1" customWidth="1"/>
  </cols>
  <sheetData>
    <row r="2" spans="2:29" x14ac:dyDescent="0.35">
      <c r="B2" s="1" t="s">
        <v>0</v>
      </c>
      <c r="C2" s="2" t="s">
        <v>1</v>
      </c>
      <c r="D2" s="2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4" t="s">
        <v>9</v>
      </c>
      <c r="L2" s="4" t="s">
        <v>10</v>
      </c>
      <c r="M2" s="3" t="s">
        <v>11</v>
      </c>
      <c r="N2" s="5" t="s">
        <v>12</v>
      </c>
      <c r="O2" s="5" t="s">
        <v>13</v>
      </c>
      <c r="P2" s="6" t="s">
        <v>14</v>
      </c>
      <c r="Q2" s="2" t="s">
        <v>15</v>
      </c>
      <c r="R2" s="2" t="s">
        <v>16</v>
      </c>
      <c r="S2" s="2" t="s">
        <v>17</v>
      </c>
      <c r="T2" s="3" t="s">
        <v>18</v>
      </c>
      <c r="U2" s="2" t="s">
        <v>19</v>
      </c>
      <c r="V2" s="2" t="s">
        <v>20</v>
      </c>
      <c r="W2" s="2" t="s">
        <v>21</v>
      </c>
      <c r="X2" s="2" t="s">
        <v>22</v>
      </c>
      <c r="Y2" s="7" t="s">
        <v>23</v>
      </c>
      <c r="Z2" s="8" t="s">
        <v>24</v>
      </c>
      <c r="AA2" s="7" t="s">
        <v>25</v>
      </c>
      <c r="AB2" s="8" t="s">
        <v>26</v>
      </c>
      <c r="AC2" t="s">
        <v>27</v>
      </c>
    </row>
    <row r="3" spans="2:29" x14ac:dyDescent="0.35">
      <c r="B3" s="9" t="s">
        <v>28</v>
      </c>
      <c r="C3">
        <v>684.38</v>
      </c>
      <c r="D3" t="s">
        <v>29</v>
      </c>
      <c r="E3" s="10">
        <v>6358.4120397500001</v>
      </c>
      <c r="F3" t="s">
        <v>30</v>
      </c>
      <c r="G3" s="11">
        <v>46023</v>
      </c>
      <c r="H3">
        <v>16607</v>
      </c>
      <c r="I3">
        <v>11365498.66</v>
      </c>
      <c r="J3">
        <v>105594148.74412826</v>
      </c>
      <c r="K3" s="9" t="s">
        <v>31</v>
      </c>
      <c r="L3" s="9" t="s">
        <v>32</v>
      </c>
      <c r="M3" s="9" t="s">
        <v>33</v>
      </c>
      <c r="N3" s="12">
        <v>3119.4664170000001</v>
      </c>
      <c r="O3" s="13">
        <v>0.4906046348519828</v>
      </c>
      <c r="P3" s="9" t="s">
        <v>28</v>
      </c>
      <c r="Q3">
        <v>348.62</v>
      </c>
      <c r="R3">
        <f>PD[[#This Row],[Price - ERP]]/IF(PD[[#This Row],[Measure - ERP]]="MI",1000,IF(PD[[#This Row],[Measure - ERP]]="CT",100,1))</f>
        <v>348.62</v>
      </c>
      <c r="S3" t="s">
        <v>29</v>
      </c>
      <c r="T3" s="10">
        <v>3238.94562275</v>
      </c>
      <c r="U3">
        <v>69375.38</v>
      </c>
      <c r="V3">
        <v>644550.17892724997</v>
      </c>
      <c r="W3" t="s">
        <v>30</v>
      </c>
      <c r="X3" t="s">
        <v>31</v>
      </c>
      <c r="Y3" t="s">
        <v>34</v>
      </c>
      <c r="Z3" t="b">
        <f>AND(PD[[#This Row],[Supplier Code ERP]]=PD[[#This Row],[Supplier Code]],$T3=$E3)</f>
        <v>0</v>
      </c>
      <c r="AA3" t="s">
        <v>35</v>
      </c>
      <c r="AB3" t="s">
        <v>36</v>
      </c>
      <c r="AC3" t="s">
        <v>37</v>
      </c>
    </row>
    <row r="4" spans="2:29" x14ac:dyDescent="0.35">
      <c r="B4" s="9" t="s">
        <v>38</v>
      </c>
      <c r="C4">
        <v>436.09</v>
      </c>
      <c r="D4" t="s">
        <v>39</v>
      </c>
      <c r="E4" s="10">
        <v>678.991386204896</v>
      </c>
      <c r="F4" t="s">
        <v>30</v>
      </c>
      <c r="G4" s="11">
        <v>46054</v>
      </c>
      <c r="H4">
        <v>6859</v>
      </c>
      <c r="I4">
        <v>2991141.31</v>
      </c>
      <c r="J4">
        <v>734.74749512736003</v>
      </c>
      <c r="K4" s="9" t="s">
        <v>40</v>
      </c>
      <c r="L4" s="9" t="s">
        <v>41</v>
      </c>
      <c r="M4" s="9" t="s">
        <v>42</v>
      </c>
      <c r="N4" s="12">
        <v>408.18267285990407</v>
      </c>
      <c r="O4" s="13">
        <v>0.60116031094498856</v>
      </c>
      <c r="P4" s="9" t="s">
        <v>38</v>
      </c>
      <c r="Q4">
        <v>698.25</v>
      </c>
      <c r="R4">
        <f>PD[[#This Row],[Price - ERP]]/IF(PD[[#This Row],[Measure - ERP]]="MI",1000,IF(PD[[#This Row],[Measure - ERP]]="CT",100,1))</f>
        <v>698.25</v>
      </c>
      <c r="S4" t="s">
        <v>39</v>
      </c>
      <c r="T4" s="10">
        <v>1087.1740590648001</v>
      </c>
      <c r="U4">
        <v>7247835</v>
      </c>
      <c r="V4">
        <v>11284866.733092625</v>
      </c>
      <c r="W4" t="s">
        <v>30</v>
      </c>
      <c r="X4" t="s">
        <v>40</v>
      </c>
      <c r="Y4" t="s">
        <v>43</v>
      </c>
      <c r="Z4" t="b">
        <f>AND(PD[[#This Row],[Supplier Code ERP]]=PD[[#This Row],[Supplier Code]],$T4=$E4)</f>
        <v>0</v>
      </c>
      <c r="AA4" t="s">
        <v>44</v>
      </c>
      <c r="AB4" t="s">
        <v>45</v>
      </c>
      <c r="AC4" t="s">
        <v>46</v>
      </c>
    </row>
    <row r="5" spans="2:29" x14ac:dyDescent="0.35">
      <c r="B5" s="9" t="s">
        <v>47</v>
      </c>
      <c r="C5">
        <v>324.72000000000003</v>
      </c>
      <c r="D5" t="s">
        <v>29</v>
      </c>
      <c r="E5" s="10">
        <v>3016.8963990000002</v>
      </c>
      <c r="F5" t="s">
        <v>30</v>
      </c>
      <c r="G5" s="11">
        <v>46082</v>
      </c>
      <c r="H5">
        <v>3213</v>
      </c>
      <c r="I5">
        <v>1043325.3600000001</v>
      </c>
      <c r="J5">
        <v>78666.74424</v>
      </c>
      <c r="K5" s="9" t="s">
        <v>48</v>
      </c>
      <c r="L5" s="9" t="s">
        <v>49</v>
      </c>
      <c r="M5" s="9" t="s">
        <v>50</v>
      </c>
      <c r="N5" s="12">
        <v>4334.0477986249998</v>
      </c>
      <c r="O5" s="13">
        <v>1.4365915250061589</v>
      </c>
      <c r="P5" s="9" t="s">
        <v>47</v>
      </c>
      <c r="Q5">
        <v>791.21</v>
      </c>
      <c r="R5">
        <f>PD[[#This Row],[Price - ERP]]/IF(PD[[#This Row],[Measure - ERP]]="MI",1000,IF(PD[[#This Row],[Measure - ERP]]="CT",100,1))</f>
        <v>791.21</v>
      </c>
      <c r="S5" t="s">
        <v>29</v>
      </c>
      <c r="T5" s="10">
        <v>7350.944197625</v>
      </c>
      <c r="U5">
        <v>1840354.4600000002</v>
      </c>
      <c r="V5">
        <v>17098296.203675751</v>
      </c>
      <c r="W5" t="s">
        <v>30</v>
      </c>
      <c r="X5" t="s">
        <v>48</v>
      </c>
      <c r="Y5" t="s">
        <v>51</v>
      </c>
      <c r="Z5" t="b">
        <f>AND(PD[[#This Row],[Supplier Code ERP]]=PD[[#This Row],[Supplier Code]],$T5=$E5)</f>
        <v>0</v>
      </c>
      <c r="AA5" t="s">
        <v>35</v>
      </c>
      <c r="AB5" t="s">
        <v>36</v>
      </c>
      <c r="AC5" t="s">
        <v>52</v>
      </c>
    </row>
    <row r="6" spans="2:29" x14ac:dyDescent="0.35">
      <c r="B6" s="9" t="s">
        <v>53</v>
      </c>
      <c r="C6">
        <v>189.43</v>
      </c>
      <c r="D6" t="s">
        <v>29</v>
      </c>
      <c r="E6" s="10">
        <v>1759.9491403750001</v>
      </c>
      <c r="F6" t="s">
        <v>30</v>
      </c>
      <c r="G6" s="11">
        <v>46113</v>
      </c>
      <c r="H6">
        <v>15111</v>
      </c>
      <c r="I6">
        <v>2862476.73</v>
      </c>
      <c r="J6">
        <v>176896.11799999999</v>
      </c>
      <c r="K6" s="9" t="s">
        <v>54</v>
      </c>
      <c r="L6" s="9" t="s">
        <v>55</v>
      </c>
      <c r="M6" s="9" t="s">
        <v>56</v>
      </c>
      <c r="N6" s="12">
        <v>522.94513544008805</v>
      </c>
      <c r="O6" s="13">
        <v>0.29713650437004208</v>
      </c>
      <c r="P6" s="9" t="s">
        <v>53</v>
      </c>
      <c r="Q6">
        <v>794.48</v>
      </c>
      <c r="R6">
        <f>PD[[#This Row],[Price - ERP]]/IF(PD[[#This Row],[Measure - ERP]]="MI",1000,IF(PD[[#This Row],[Measure - ERP]]="CT",100,1))</f>
        <v>794.48</v>
      </c>
      <c r="S6" t="s">
        <v>39</v>
      </c>
      <c r="T6" s="10">
        <v>1237.004004934912</v>
      </c>
      <c r="U6">
        <v>301902.40000000002</v>
      </c>
      <c r="V6">
        <v>470061.52187526657</v>
      </c>
      <c r="W6" t="s">
        <v>30</v>
      </c>
      <c r="X6" t="s">
        <v>57</v>
      </c>
      <c r="Y6" t="s">
        <v>58</v>
      </c>
      <c r="Z6" t="b">
        <f>AND(PD[[#This Row],[Supplier Code ERP]]=PD[[#This Row],[Supplier Code]],$T6=$E6)</f>
        <v>0</v>
      </c>
      <c r="AA6" t="s">
        <v>35</v>
      </c>
      <c r="AB6" t="s">
        <v>36</v>
      </c>
      <c r="AC6" t="s">
        <v>59</v>
      </c>
    </row>
    <row r="7" spans="2:29" x14ac:dyDescent="0.35">
      <c r="B7" s="9" t="s">
        <v>60</v>
      </c>
      <c r="C7">
        <v>471.04</v>
      </c>
      <c r="D7" t="s">
        <v>29</v>
      </c>
      <c r="E7" s="10">
        <v>4376.3207679999996</v>
      </c>
      <c r="F7" t="s">
        <v>30</v>
      </c>
      <c r="G7" s="14">
        <v>46113</v>
      </c>
      <c r="H7">
        <v>17004</v>
      </c>
      <c r="I7">
        <v>8009564.1600000001</v>
      </c>
      <c r="J7">
        <v>162328.20240000001</v>
      </c>
      <c r="K7" s="9" t="s">
        <v>54</v>
      </c>
      <c r="L7" s="9" t="s">
        <v>55</v>
      </c>
      <c r="M7" s="9" t="s">
        <v>56</v>
      </c>
      <c r="N7" s="12">
        <v>3911.2609474456635</v>
      </c>
      <c r="O7" s="13">
        <v>0.89373269346367612</v>
      </c>
      <c r="P7" s="9" t="s">
        <v>60</v>
      </c>
      <c r="Q7">
        <v>298.69</v>
      </c>
      <c r="R7">
        <f>PD[[#This Row],[Price - ERP]]/IF(PD[[#This Row],[Measure - ERP]]="MI",1000,IF(PD[[#This Row],[Measure - ERP]]="CT",100,1))</f>
        <v>298.69</v>
      </c>
      <c r="S7" t="s">
        <v>39</v>
      </c>
      <c r="T7" s="10">
        <v>465.059820554336</v>
      </c>
      <c r="U7">
        <v>937587.91</v>
      </c>
      <c r="V7">
        <v>1459822.7767200607</v>
      </c>
      <c r="W7" t="s">
        <v>30</v>
      </c>
      <c r="X7" t="s">
        <v>61</v>
      </c>
      <c r="Y7" t="s">
        <v>62</v>
      </c>
      <c r="Z7" t="b">
        <f>AND(PD[[#This Row],[Supplier Code ERP]]=PD[[#This Row],[Supplier Code]],$T7=$E7)</f>
        <v>0</v>
      </c>
      <c r="AA7" t="s">
        <v>44</v>
      </c>
      <c r="AB7" t="s">
        <v>36</v>
      </c>
      <c r="AC7" t="s">
        <v>46</v>
      </c>
    </row>
    <row r="8" spans="2:29" x14ac:dyDescent="0.35">
      <c r="B8" t="s">
        <v>28</v>
      </c>
      <c r="C8">
        <v>684.38</v>
      </c>
      <c r="D8" t="s">
        <v>29</v>
      </c>
      <c r="E8" s="10">
        <v>6358.4120397500001</v>
      </c>
      <c r="F8" t="s">
        <v>30</v>
      </c>
      <c r="G8" s="14">
        <v>46023</v>
      </c>
      <c r="H8">
        <v>16607</v>
      </c>
      <c r="I8">
        <v>11365498.66</v>
      </c>
      <c r="J8">
        <v>105594148.74412826</v>
      </c>
      <c r="K8" t="s">
        <v>31</v>
      </c>
      <c r="L8" s="9" t="s">
        <v>32</v>
      </c>
      <c r="M8" t="s">
        <v>33</v>
      </c>
      <c r="N8" s="12">
        <v>3119.4664170000001</v>
      </c>
      <c r="O8" s="13">
        <v>0.4906046348519828</v>
      </c>
      <c r="P8" s="9" t="s">
        <v>28</v>
      </c>
      <c r="Q8">
        <v>348.62</v>
      </c>
      <c r="R8">
        <v>348.62</v>
      </c>
      <c r="S8" t="s">
        <v>29</v>
      </c>
      <c r="T8">
        <v>3238.94562275</v>
      </c>
      <c r="U8">
        <v>69375.38</v>
      </c>
      <c r="V8">
        <v>644550.17892724997</v>
      </c>
      <c r="W8" t="s">
        <v>30</v>
      </c>
      <c r="X8" t="s">
        <v>31</v>
      </c>
      <c r="Y8" t="s">
        <v>34</v>
      </c>
      <c r="Z8" t="b">
        <v>0</v>
      </c>
      <c r="AA8" t="s">
        <v>35</v>
      </c>
      <c r="AB8" t="s">
        <v>36</v>
      </c>
      <c r="AC8" t="s">
        <v>37</v>
      </c>
    </row>
    <row r="9" spans="2:29" x14ac:dyDescent="0.35">
      <c r="B9" t="s">
        <v>120</v>
      </c>
      <c r="C9">
        <v>733.67</v>
      </c>
      <c r="D9" t="s">
        <v>29</v>
      </c>
      <c r="E9" s="10">
        <v>6816.3537233749994</v>
      </c>
      <c r="F9" t="s">
        <v>30</v>
      </c>
      <c r="G9" s="14">
        <v>46023</v>
      </c>
      <c r="H9">
        <v>781</v>
      </c>
      <c r="I9">
        <v>572996.27</v>
      </c>
      <c r="J9">
        <v>25097.099578199999</v>
      </c>
      <c r="K9" t="s">
        <v>31</v>
      </c>
      <c r="L9" s="9" t="s">
        <v>32</v>
      </c>
      <c r="M9" t="s">
        <v>33</v>
      </c>
      <c r="N9" s="12">
        <v>3458.3934329999993</v>
      </c>
      <c r="O9" s="13">
        <v>0.50736707238949386</v>
      </c>
      <c r="P9" s="9" t="s">
        <v>120</v>
      </c>
      <c r="Q9">
        <v>361.43</v>
      </c>
      <c r="R9">
        <v>361.43</v>
      </c>
      <c r="S9" t="s">
        <v>29</v>
      </c>
      <c r="T9">
        <v>3357.9602903750001</v>
      </c>
      <c r="U9">
        <v>4462214.78</v>
      </c>
      <c r="V9">
        <v>41457377.744969748</v>
      </c>
      <c r="W9" t="s">
        <v>30</v>
      </c>
      <c r="X9" t="s">
        <v>31</v>
      </c>
      <c r="Y9" t="s">
        <v>121</v>
      </c>
      <c r="Z9" t="b">
        <v>0</v>
      </c>
      <c r="AA9" t="s">
        <v>35</v>
      </c>
      <c r="AB9" t="s">
        <v>36</v>
      </c>
      <c r="AC9" t="s">
        <v>122</v>
      </c>
    </row>
    <row r="10" spans="2:29" x14ac:dyDescent="0.35">
      <c r="B10" t="s">
        <v>120</v>
      </c>
      <c r="C10">
        <v>505.27</v>
      </c>
      <c r="D10" t="s">
        <v>29</v>
      </c>
      <c r="E10" s="10">
        <v>4694.3435683749994</v>
      </c>
      <c r="F10" t="s">
        <v>30</v>
      </c>
      <c r="G10" s="14">
        <v>46023</v>
      </c>
      <c r="H10">
        <v>16333</v>
      </c>
      <c r="I10">
        <v>8252574.9100000001</v>
      </c>
      <c r="J10">
        <v>125485.49789100001</v>
      </c>
      <c r="K10" t="s">
        <v>31</v>
      </c>
      <c r="L10" s="9" t="s">
        <v>32</v>
      </c>
      <c r="M10" t="s">
        <v>33</v>
      </c>
      <c r="N10" s="12">
        <v>1105.0432917500002</v>
      </c>
      <c r="O10" s="13">
        <v>0.23539889563995495</v>
      </c>
      <c r="P10" s="9" t="s">
        <v>120</v>
      </c>
      <c r="Q10">
        <v>624.21</v>
      </c>
      <c r="R10">
        <v>624.21</v>
      </c>
      <c r="S10" t="s">
        <v>29</v>
      </c>
      <c r="T10">
        <v>5799.3868601249997</v>
      </c>
      <c r="U10">
        <v>9623445.5700000003</v>
      </c>
      <c r="V10">
        <v>89409147.222547114</v>
      </c>
      <c r="W10" t="s">
        <v>30</v>
      </c>
      <c r="X10" t="s">
        <v>31</v>
      </c>
      <c r="Y10" t="s">
        <v>121</v>
      </c>
      <c r="Z10" t="b">
        <v>0</v>
      </c>
      <c r="AA10" t="s">
        <v>35</v>
      </c>
      <c r="AB10" t="s">
        <v>36</v>
      </c>
      <c r="AC10" t="s">
        <v>122</v>
      </c>
    </row>
    <row r="11" spans="2:29" x14ac:dyDescent="0.35">
      <c r="B11" t="s">
        <v>120</v>
      </c>
      <c r="C11">
        <v>183.32</v>
      </c>
      <c r="D11" t="s">
        <v>29</v>
      </c>
      <c r="E11" s="10">
        <v>1703.1825815</v>
      </c>
      <c r="F11" t="s">
        <v>30</v>
      </c>
      <c r="G11" s="14">
        <v>46023</v>
      </c>
      <c r="H11">
        <v>18939</v>
      </c>
      <c r="I11">
        <v>3471897.48</v>
      </c>
      <c r="J11">
        <v>150582.5974692</v>
      </c>
      <c r="K11" t="s">
        <v>31</v>
      </c>
      <c r="L11" s="9" t="s">
        <v>32</v>
      </c>
      <c r="M11" t="s">
        <v>33</v>
      </c>
      <c r="N11" s="12">
        <v>654.25549524999997</v>
      </c>
      <c r="O11" s="13">
        <v>0.38413702814750161</v>
      </c>
      <c r="P11" s="9" t="s">
        <v>120</v>
      </c>
      <c r="Q11">
        <v>112.9</v>
      </c>
      <c r="R11">
        <v>112.9</v>
      </c>
      <c r="S11" t="s">
        <v>29</v>
      </c>
      <c r="T11">
        <v>1048.92708625</v>
      </c>
      <c r="U11">
        <v>867184.9</v>
      </c>
      <c r="V11">
        <v>8056808.9494862501</v>
      </c>
      <c r="W11" t="s">
        <v>30</v>
      </c>
      <c r="X11" t="s">
        <v>31</v>
      </c>
      <c r="Y11" t="s">
        <v>121</v>
      </c>
      <c r="Z11" t="b">
        <v>0</v>
      </c>
      <c r="AA11" t="s">
        <v>35</v>
      </c>
      <c r="AB11" t="s">
        <v>36</v>
      </c>
      <c r="AC11" t="s">
        <v>122</v>
      </c>
    </row>
    <row r="12" spans="2:29" x14ac:dyDescent="0.35">
      <c r="B12" t="s">
        <v>120</v>
      </c>
      <c r="C12">
        <v>203.04</v>
      </c>
      <c r="D12" t="s">
        <v>29</v>
      </c>
      <c r="E12" s="10">
        <v>1886.3964179999998</v>
      </c>
      <c r="F12" t="s">
        <v>30</v>
      </c>
      <c r="G12" s="14">
        <v>46023</v>
      </c>
      <c r="H12">
        <v>4075</v>
      </c>
      <c r="I12">
        <v>827388</v>
      </c>
      <c r="J12">
        <v>200776.79662559999</v>
      </c>
      <c r="K12" t="s">
        <v>31</v>
      </c>
      <c r="L12" s="9" t="s">
        <v>32</v>
      </c>
      <c r="M12" t="s">
        <v>33</v>
      </c>
      <c r="N12" s="12">
        <v>6553.0535141250002</v>
      </c>
      <c r="O12" s="13">
        <v>3.4738475177304968</v>
      </c>
      <c r="P12" s="9" t="s">
        <v>120</v>
      </c>
      <c r="Q12">
        <v>908.37</v>
      </c>
      <c r="R12">
        <v>908.37</v>
      </c>
      <c r="S12" t="s">
        <v>29</v>
      </c>
      <c r="T12">
        <v>8439.4499321250005</v>
      </c>
      <c r="U12">
        <v>14463975.51</v>
      </c>
      <c r="V12">
        <v>134381361.26922637</v>
      </c>
      <c r="W12" t="s">
        <v>30</v>
      </c>
      <c r="X12" t="s">
        <v>31</v>
      </c>
      <c r="Y12" t="s">
        <v>121</v>
      </c>
      <c r="Z12" t="b">
        <v>0</v>
      </c>
      <c r="AA12" t="s">
        <v>35</v>
      </c>
      <c r="AB12" t="s">
        <v>36</v>
      </c>
      <c r="AC12" t="s">
        <v>122</v>
      </c>
    </row>
    <row r="13" spans="2:29" x14ac:dyDescent="0.35">
      <c r="B13" t="s">
        <v>120</v>
      </c>
      <c r="C13">
        <v>771.73</v>
      </c>
      <c r="D13" t="s">
        <v>29</v>
      </c>
      <c r="E13" s="10">
        <v>7169.9601441249997</v>
      </c>
      <c r="F13" t="s">
        <v>30</v>
      </c>
      <c r="G13" s="14">
        <v>46023</v>
      </c>
      <c r="H13">
        <v>16011</v>
      </c>
      <c r="I13">
        <v>12356169.030000001</v>
      </c>
      <c r="J13">
        <v>150582.5974692</v>
      </c>
      <c r="K13" t="s">
        <v>31</v>
      </c>
      <c r="L13" s="9" t="s">
        <v>32</v>
      </c>
      <c r="M13" t="s">
        <v>33</v>
      </c>
      <c r="N13" s="12">
        <v>1201.8530370000008</v>
      </c>
      <c r="O13" s="13">
        <v>0.16762339160068948</v>
      </c>
      <c r="P13" s="9" t="s">
        <v>120</v>
      </c>
      <c r="Q13">
        <v>901.09</v>
      </c>
      <c r="R13">
        <v>901.09</v>
      </c>
      <c r="S13" t="s">
        <v>29</v>
      </c>
      <c r="T13">
        <v>8371.8131811250005</v>
      </c>
      <c r="U13">
        <v>10950045.68</v>
      </c>
      <c r="V13">
        <v>101734273.777031</v>
      </c>
      <c r="W13" t="s">
        <v>30</v>
      </c>
      <c r="X13" t="s">
        <v>31</v>
      </c>
      <c r="Y13" t="s">
        <v>121</v>
      </c>
      <c r="Z13" t="b">
        <v>0</v>
      </c>
      <c r="AA13" t="s">
        <v>35</v>
      </c>
      <c r="AB13" t="s">
        <v>36</v>
      </c>
      <c r="AC13" t="s">
        <v>122</v>
      </c>
    </row>
    <row r="14" spans="2:29" x14ac:dyDescent="0.35">
      <c r="B14" t="s">
        <v>123</v>
      </c>
      <c r="C14">
        <v>444.8</v>
      </c>
      <c r="D14" t="s">
        <v>29</v>
      </c>
      <c r="E14" s="10">
        <v>4132.5311599999995</v>
      </c>
      <c r="F14" t="s">
        <v>30</v>
      </c>
      <c r="G14" s="14">
        <v>46023</v>
      </c>
      <c r="H14">
        <v>14961</v>
      </c>
      <c r="I14">
        <v>6654652.7999999998</v>
      </c>
      <c r="J14">
        <v>389230.92047999997</v>
      </c>
      <c r="K14" t="s">
        <v>31</v>
      </c>
      <c r="L14" s="9" t="s">
        <v>32</v>
      </c>
      <c r="M14" t="s">
        <v>33</v>
      </c>
      <c r="N14" s="12">
        <v>2695.8076470000005</v>
      </c>
      <c r="O14" s="13">
        <v>0.65233812949640313</v>
      </c>
      <c r="P14" s="9" t="s">
        <v>123</v>
      </c>
      <c r="Q14">
        <v>734.96</v>
      </c>
      <c r="R14">
        <v>734.96</v>
      </c>
      <c r="S14" t="s">
        <v>29</v>
      </c>
      <c r="T14">
        <v>6828.3388070000001</v>
      </c>
      <c r="U14">
        <v>6779271.04</v>
      </c>
      <c r="V14">
        <v>62984597.155768</v>
      </c>
      <c r="W14" t="s">
        <v>30</v>
      </c>
      <c r="X14" t="s">
        <v>31</v>
      </c>
      <c r="Y14" t="s">
        <v>34</v>
      </c>
      <c r="Z14" t="b">
        <v>0</v>
      </c>
      <c r="AA14" t="s">
        <v>35</v>
      </c>
      <c r="AB14" t="s">
        <v>36</v>
      </c>
      <c r="AC14" t="s">
        <v>37</v>
      </c>
    </row>
    <row r="15" spans="2:29" x14ac:dyDescent="0.35">
      <c r="B15" t="s">
        <v>123</v>
      </c>
      <c r="C15">
        <v>378.51</v>
      </c>
      <c r="D15" t="s">
        <v>29</v>
      </c>
      <c r="E15" s="10">
        <v>3516.646513875</v>
      </c>
      <c r="F15" t="s">
        <v>30</v>
      </c>
      <c r="G15" s="14">
        <v>46023</v>
      </c>
      <c r="H15">
        <v>4340</v>
      </c>
      <c r="I15">
        <v>1642733.4</v>
      </c>
      <c r="J15">
        <v>38923.092047999999</v>
      </c>
      <c r="K15" t="s">
        <v>31</v>
      </c>
      <c r="L15" s="9" t="s">
        <v>32</v>
      </c>
      <c r="M15" t="s">
        <v>33</v>
      </c>
      <c r="N15" s="12">
        <v>2180.0774206249998</v>
      </c>
      <c r="O15" s="13">
        <v>0.61993078122110379</v>
      </c>
      <c r="P15" s="9" t="s">
        <v>123</v>
      </c>
      <c r="Q15">
        <v>143.86000000000001</v>
      </c>
      <c r="R15">
        <v>143.86000000000001</v>
      </c>
      <c r="S15" t="s">
        <v>29</v>
      </c>
      <c r="T15">
        <v>1336.5690932500002</v>
      </c>
      <c r="U15">
        <v>172632.00000000003</v>
      </c>
      <c r="V15">
        <v>1603882.9119000002</v>
      </c>
      <c r="W15" t="s">
        <v>30</v>
      </c>
      <c r="X15" t="s">
        <v>31</v>
      </c>
      <c r="Y15" t="s">
        <v>34</v>
      </c>
      <c r="Z15" t="b">
        <v>0</v>
      </c>
      <c r="AA15" t="s">
        <v>35</v>
      </c>
      <c r="AB15" t="s">
        <v>36</v>
      </c>
      <c r="AC15" t="s">
        <v>37</v>
      </c>
    </row>
    <row r="16" spans="2:29" x14ac:dyDescent="0.35">
      <c r="B16" t="s">
        <v>124</v>
      </c>
      <c r="C16">
        <v>572.5</v>
      </c>
      <c r="D16" t="s">
        <v>29</v>
      </c>
      <c r="E16" s="10">
        <v>5318.96153125</v>
      </c>
      <c r="F16" t="s">
        <v>30</v>
      </c>
      <c r="G16" s="14">
        <v>46023</v>
      </c>
      <c r="H16">
        <v>1665</v>
      </c>
      <c r="I16">
        <v>953212.5</v>
      </c>
      <c r="J16">
        <v>626002.65811800002</v>
      </c>
      <c r="K16" t="s">
        <v>31</v>
      </c>
      <c r="L16" s="9" t="s">
        <v>32</v>
      </c>
      <c r="M16" t="s">
        <v>33</v>
      </c>
      <c r="N16" s="12">
        <v>654.34840287499901</v>
      </c>
      <c r="O16" s="13">
        <v>0.12302183406113519</v>
      </c>
      <c r="P16" s="9" t="s">
        <v>124</v>
      </c>
      <c r="Q16">
        <v>642.92999999999995</v>
      </c>
      <c r="R16">
        <v>642.92999999999995</v>
      </c>
      <c r="S16" t="s">
        <v>29</v>
      </c>
      <c r="T16">
        <v>5973.309934124999</v>
      </c>
      <c r="U16">
        <v>7110805.7999999998</v>
      </c>
      <c r="V16">
        <v>66064807.871422492</v>
      </c>
      <c r="W16" t="s">
        <v>30</v>
      </c>
      <c r="X16" t="s">
        <v>31</v>
      </c>
      <c r="Y16" t="s">
        <v>125</v>
      </c>
      <c r="Z16" t="b">
        <v>0</v>
      </c>
      <c r="AA16" t="s">
        <v>35</v>
      </c>
      <c r="AB16" t="s">
        <v>36</v>
      </c>
      <c r="AC16" t="s">
        <v>126</v>
      </c>
    </row>
    <row r="17" spans="2:29" x14ac:dyDescent="0.35">
      <c r="B17" t="s">
        <v>124</v>
      </c>
      <c r="C17">
        <v>553.78</v>
      </c>
      <c r="D17" t="s">
        <v>29</v>
      </c>
      <c r="E17" s="10">
        <v>5145.0384572499997</v>
      </c>
      <c r="F17" t="s">
        <v>30</v>
      </c>
      <c r="G17" s="14">
        <v>46023</v>
      </c>
      <c r="H17">
        <v>1245</v>
      </c>
      <c r="I17">
        <v>689456.1</v>
      </c>
      <c r="J17">
        <v>626002.65811800002</v>
      </c>
      <c r="K17" t="s">
        <v>31</v>
      </c>
      <c r="L17" s="9" t="s">
        <v>32</v>
      </c>
      <c r="M17" t="s">
        <v>33</v>
      </c>
      <c r="N17" s="12">
        <v>1082.9312769999997</v>
      </c>
      <c r="O17" s="13">
        <v>0.21048069630539198</v>
      </c>
      <c r="P17" s="9" t="s">
        <v>124</v>
      </c>
      <c r="Q17">
        <v>437.22</v>
      </c>
      <c r="R17">
        <v>437.22</v>
      </c>
      <c r="S17" t="s">
        <v>29</v>
      </c>
      <c r="T17">
        <v>4062.1071802500001</v>
      </c>
      <c r="U17">
        <v>3339923.58</v>
      </c>
      <c r="V17">
        <v>31030436.749929752</v>
      </c>
      <c r="W17" t="s">
        <v>30</v>
      </c>
      <c r="X17" t="s">
        <v>31</v>
      </c>
      <c r="Y17" t="s">
        <v>125</v>
      </c>
      <c r="Z17" t="b">
        <v>0</v>
      </c>
      <c r="AA17" t="s">
        <v>35</v>
      </c>
      <c r="AB17" t="s">
        <v>36</v>
      </c>
      <c r="AC17" t="s">
        <v>126</v>
      </c>
    </row>
    <row r="18" spans="2:29" x14ac:dyDescent="0.35">
      <c r="B18" t="s">
        <v>127</v>
      </c>
      <c r="C18">
        <v>903.81</v>
      </c>
      <c r="D18" t="s">
        <v>29</v>
      </c>
      <c r="E18" s="10">
        <v>8397.0840551249985</v>
      </c>
      <c r="F18" t="s">
        <v>30</v>
      </c>
      <c r="G18" s="14">
        <v>46023</v>
      </c>
      <c r="H18">
        <v>458</v>
      </c>
      <c r="I18">
        <v>413944.98</v>
      </c>
      <c r="J18">
        <v>74452.454370000007</v>
      </c>
      <c r="K18" t="s">
        <v>31</v>
      </c>
      <c r="L18" s="9" t="s">
        <v>32</v>
      </c>
      <c r="M18" t="s">
        <v>33</v>
      </c>
      <c r="N18" s="12">
        <v>3541.6386649999986</v>
      </c>
      <c r="O18" s="13">
        <v>0.42177006229185326</v>
      </c>
      <c r="P18" s="9" t="s">
        <v>127</v>
      </c>
      <c r="Q18">
        <v>522.61</v>
      </c>
      <c r="R18">
        <v>522.61</v>
      </c>
      <c r="S18" t="s">
        <v>29</v>
      </c>
      <c r="T18">
        <v>4855.4453901249999</v>
      </c>
      <c r="U18">
        <v>8277097.1800000006</v>
      </c>
      <c r="V18">
        <v>76900544.088799745</v>
      </c>
      <c r="W18" t="s">
        <v>30</v>
      </c>
      <c r="X18" t="s">
        <v>31</v>
      </c>
      <c r="Y18" t="s">
        <v>125</v>
      </c>
      <c r="Z18" t="b">
        <v>0</v>
      </c>
      <c r="AA18" t="s">
        <v>35</v>
      </c>
      <c r="AB18" t="s">
        <v>36</v>
      </c>
      <c r="AC18" t="s">
        <v>126</v>
      </c>
    </row>
    <row r="19" spans="2:29" x14ac:dyDescent="0.35">
      <c r="B19" t="s">
        <v>127</v>
      </c>
      <c r="C19">
        <v>307.64</v>
      </c>
      <c r="D19" t="s">
        <v>29</v>
      </c>
      <c r="E19" s="10">
        <v>2858.2101754999999</v>
      </c>
      <c r="F19" t="s">
        <v>30</v>
      </c>
      <c r="G19" s="14">
        <v>46023</v>
      </c>
      <c r="H19">
        <v>3924</v>
      </c>
      <c r="I19">
        <v>1207179.3599999999</v>
      </c>
      <c r="J19">
        <v>818976.99806999997</v>
      </c>
      <c r="K19" t="s">
        <v>31</v>
      </c>
      <c r="L19" s="9" t="s">
        <v>32</v>
      </c>
      <c r="M19" t="s">
        <v>33</v>
      </c>
      <c r="N19" s="12">
        <v>5420.3237501249987</v>
      </c>
      <c r="O19" s="13">
        <v>1.8964048888311009</v>
      </c>
      <c r="P19" s="9" t="s">
        <v>127</v>
      </c>
      <c r="Q19">
        <v>891.05</v>
      </c>
      <c r="R19">
        <v>891.05</v>
      </c>
      <c r="S19" t="s">
        <v>29</v>
      </c>
      <c r="T19">
        <v>8278.533925624999</v>
      </c>
      <c r="U19">
        <v>416120.35</v>
      </c>
      <c r="V19">
        <v>3866075.3432668746</v>
      </c>
      <c r="W19" t="s">
        <v>30</v>
      </c>
      <c r="X19" t="s">
        <v>31</v>
      </c>
      <c r="Y19" t="s">
        <v>125</v>
      </c>
      <c r="Z19" t="b">
        <v>0</v>
      </c>
      <c r="AA19" t="s">
        <v>35</v>
      </c>
      <c r="AB19" t="s">
        <v>36</v>
      </c>
      <c r="AC19" t="s">
        <v>126</v>
      </c>
    </row>
    <row r="20" spans="2:29" x14ac:dyDescent="0.35">
      <c r="B20" t="s">
        <v>127</v>
      </c>
      <c r="C20">
        <v>471.74</v>
      </c>
      <c r="D20" t="s">
        <v>29</v>
      </c>
      <c r="E20" s="10">
        <v>4382.8243017499999</v>
      </c>
      <c r="F20" t="s">
        <v>30</v>
      </c>
      <c r="G20" s="14">
        <v>46023</v>
      </c>
      <c r="H20">
        <v>195</v>
      </c>
      <c r="I20">
        <v>91989.3</v>
      </c>
      <c r="J20">
        <v>372262.27185000002</v>
      </c>
      <c r="K20" t="s">
        <v>31</v>
      </c>
      <c r="L20" s="9" t="s">
        <v>32</v>
      </c>
      <c r="M20" t="s">
        <v>33</v>
      </c>
      <c r="N20" s="12">
        <v>910.86635550000028</v>
      </c>
      <c r="O20" s="13">
        <v>0.20782634502056224</v>
      </c>
      <c r="P20" s="9" t="s">
        <v>127</v>
      </c>
      <c r="Q20">
        <v>373.7</v>
      </c>
      <c r="R20">
        <v>373.7</v>
      </c>
      <c r="S20" t="s">
        <v>29</v>
      </c>
      <c r="T20">
        <v>3471.9579462499996</v>
      </c>
      <c r="U20">
        <v>6084209.7000000002</v>
      </c>
      <c r="V20">
        <v>56526947.322896242</v>
      </c>
      <c r="W20" t="s">
        <v>30</v>
      </c>
      <c r="X20" t="s">
        <v>31</v>
      </c>
      <c r="Y20" t="s">
        <v>125</v>
      </c>
      <c r="Z20" t="b">
        <v>0</v>
      </c>
      <c r="AA20" t="s">
        <v>35</v>
      </c>
      <c r="AB20" t="s">
        <v>36</v>
      </c>
      <c r="AC20" t="s">
        <v>126</v>
      </c>
    </row>
    <row r="21" spans="2:29" x14ac:dyDescent="0.35">
      <c r="B21" t="s">
        <v>38</v>
      </c>
      <c r="C21">
        <v>436.09</v>
      </c>
      <c r="D21" t="s">
        <v>39</v>
      </c>
      <c r="E21" s="10">
        <v>678.991386204896</v>
      </c>
      <c r="F21" t="s">
        <v>30</v>
      </c>
      <c r="G21" s="14">
        <v>46023</v>
      </c>
      <c r="H21">
        <v>6859</v>
      </c>
      <c r="I21">
        <v>2991141.31</v>
      </c>
      <c r="J21">
        <v>734.74749512736003</v>
      </c>
      <c r="K21" t="s">
        <v>40</v>
      </c>
      <c r="L21" s="9" t="s">
        <v>41</v>
      </c>
      <c r="M21" t="s">
        <v>42</v>
      </c>
      <c r="N21" s="12">
        <v>408.18267285990407</v>
      </c>
      <c r="O21" s="13">
        <v>0.60116031094498856</v>
      </c>
      <c r="P21" s="9" t="s">
        <v>38</v>
      </c>
      <c r="Q21">
        <v>698.25</v>
      </c>
      <c r="R21">
        <v>698.25</v>
      </c>
      <c r="S21" t="s">
        <v>39</v>
      </c>
      <c r="T21">
        <v>1087.1740590648001</v>
      </c>
      <c r="U21">
        <v>7247835</v>
      </c>
      <c r="V21">
        <v>11284866.733092625</v>
      </c>
      <c r="W21" t="s">
        <v>30</v>
      </c>
      <c r="X21" t="s">
        <v>40</v>
      </c>
      <c r="Y21" t="s">
        <v>43</v>
      </c>
      <c r="Z21" t="b">
        <v>0</v>
      </c>
      <c r="AA21" t="s">
        <v>44</v>
      </c>
      <c r="AB21" t="s">
        <v>45</v>
      </c>
      <c r="AC21" t="s">
        <v>46</v>
      </c>
    </row>
    <row r="22" spans="2:29" x14ac:dyDescent="0.35">
      <c r="B22" t="s">
        <v>38</v>
      </c>
      <c r="C22">
        <v>326.26</v>
      </c>
      <c r="D22" t="s">
        <v>39</v>
      </c>
      <c r="E22" s="10">
        <v>507.98626353094397</v>
      </c>
      <c r="F22" t="s">
        <v>30</v>
      </c>
      <c r="G22" s="14">
        <v>46023</v>
      </c>
      <c r="H22">
        <v>8163</v>
      </c>
      <c r="I22">
        <v>2663260.38</v>
      </c>
      <c r="J22">
        <v>1102.1212426910399</v>
      </c>
      <c r="K22" t="s">
        <v>40</v>
      </c>
      <c r="L22" s="9" t="s">
        <v>41</v>
      </c>
      <c r="M22" t="s">
        <v>42</v>
      </c>
      <c r="N22" s="12">
        <v>414.03698644684795</v>
      </c>
      <c r="O22" s="13">
        <v>0.81505547722675165</v>
      </c>
      <c r="P22" s="9" t="s">
        <v>38</v>
      </c>
      <c r="Q22">
        <v>592.17999999999995</v>
      </c>
      <c r="R22">
        <v>592.17999999999995</v>
      </c>
      <c r="S22" t="s">
        <v>39</v>
      </c>
      <c r="T22">
        <v>922.02324997779192</v>
      </c>
      <c r="U22">
        <v>9075158.5</v>
      </c>
      <c r="V22">
        <v>14130006.305909662</v>
      </c>
      <c r="W22" t="s">
        <v>30</v>
      </c>
      <c r="X22" t="s">
        <v>40</v>
      </c>
      <c r="Y22" t="s">
        <v>43</v>
      </c>
      <c r="Z22" t="b">
        <v>0</v>
      </c>
      <c r="AA22" t="s">
        <v>44</v>
      </c>
      <c r="AB22" t="s">
        <v>45</v>
      </c>
      <c r="AC22" t="s">
        <v>46</v>
      </c>
    </row>
    <row r="23" spans="2:29" x14ac:dyDescent="0.35">
      <c r="B23" t="s">
        <v>38</v>
      </c>
      <c r="C23">
        <v>664.55</v>
      </c>
      <c r="D23" t="s">
        <v>39</v>
      </c>
      <c r="E23" s="10">
        <v>1034.7032165435201</v>
      </c>
      <c r="F23" t="s">
        <v>30</v>
      </c>
      <c r="G23" s="14">
        <v>46023</v>
      </c>
      <c r="H23">
        <v>16224</v>
      </c>
      <c r="I23">
        <v>10781659.199999999</v>
      </c>
      <c r="J23">
        <v>36.729589764895998</v>
      </c>
      <c r="K23" t="s">
        <v>40</v>
      </c>
      <c r="L23" s="9" t="s">
        <v>41</v>
      </c>
      <c r="M23" t="s">
        <v>42</v>
      </c>
      <c r="N23" s="12">
        <v>426.6798125973761</v>
      </c>
      <c r="O23" s="13">
        <v>0.41236927243999705</v>
      </c>
      <c r="P23" s="9" t="s">
        <v>38</v>
      </c>
      <c r="Q23">
        <v>390.51</v>
      </c>
      <c r="R23">
        <v>390.51</v>
      </c>
      <c r="S23" t="s">
        <v>39</v>
      </c>
      <c r="T23">
        <v>608.02340394614396</v>
      </c>
      <c r="U23">
        <v>75758.94</v>
      </c>
      <c r="V23">
        <v>117956.54036555193</v>
      </c>
      <c r="W23" t="s">
        <v>30</v>
      </c>
      <c r="X23" t="s">
        <v>40</v>
      </c>
      <c r="Y23" t="s">
        <v>43</v>
      </c>
      <c r="Z23" t="b">
        <v>0</v>
      </c>
      <c r="AA23" t="s">
        <v>44</v>
      </c>
      <c r="AB23" t="s">
        <v>45</v>
      </c>
      <c r="AC23" t="s">
        <v>46</v>
      </c>
    </row>
    <row r="24" spans="2:29" x14ac:dyDescent="0.35">
      <c r="B24" t="s">
        <v>38</v>
      </c>
      <c r="C24">
        <v>269.70999999999998</v>
      </c>
      <c r="D24" t="s">
        <v>39</v>
      </c>
      <c r="E24" s="10">
        <v>419.93800998262395</v>
      </c>
      <c r="F24" t="s">
        <v>30</v>
      </c>
      <c r="G24" s="14">
        <v>46023</v>
      </c>
      <c r="H24">
        <v>4606</v>
      </c>
      <c r="I24">
        <v>1242284.26</v>
      </c>
      <c r="J24">
        <v>1800.13136306203</v>
      </c>
      <c r="K24" t="s">
        <v>40</v>
      </c>
      <c r="L24" s="9" t="s">
        <v>41</v>
      </c>
      <c r="M24" t="s">
        <v>42</v>
      </c>
      <c r="N24" s="12">
        <v>238.71897849740799</v>
      </c>
      <c r="O24" s="13">
        <v>0.56846242260205404</v>
      </c>
      <c r="P24" s="9" t="s">
        <v>38</v>
      </c>
      <c r="Q24">
        <v>423.03</v>
      </c>
      <c r="R24">
        <v>423.03</v>
      </c>
      <c r="S24" t="s">
        <v>39</v>
      </c>
      <c r="T24">
        <v>658.65698848003194</v>
      </c>
      <c r="U24">
        <v>8407721.25</v>
      </c>
      <c r="V24">
        <v>13090807.646040635</v>
      </c>
      <c r="W24" t="s">
        <v>30</v>
      </c>
      <c r="X24" t="s">
        <v>40</v>
      </c>
      <c r="Y24" t="s">
        <v>43</v>
      </c>
      <c r="Z24" t="b">
        <v>0</v>
      </c>
      <c r="AA24" t="s">
        <v>44</v>
      </c>
      <c r="AB24" t="s">
        <v>45</v>
      </c>
      <c r="AC24" t="s">
        <v>46</v>
      </c>
    </row>
    <row r="25" spans="2:29" x14ac:dyDescent="0.35">
      <c r="B25" t="s">
        <v>38</v>
      </c>
      <c r="C25">
        <v>255.9</v>
      </c>
      <c r="D25" t="s">
        <v>39</v>
      </c>
      <c r="E25" s="10">
        <v>398.43586353696003</v>
      </c>
      <c r="F25" t="s">
        <v>30</v>
      </c>
      <c r="G25" s="14">
        <v>46023</v>
      </c>
      <c r="H25">
        <v>4027</v>
      </c>
      <c r="I25">
        <v>1030509.3</v>
      </c>
      <c r="J25">
        <v>73.474749512735997</v>
      </c>
      <c r="K25" t="s">
        <v>40</v>
      </c>
      <c r="L25" s="9" t="s">
        <v>41</v>
      </c>
      <c r="M25" t="s">
        <v>42</v>
      </c>
      <c r="N25" s="12">
        <v>220.05056894755202</v>
      </c>
      <c r="O25" s="13">
        <v>0.55228604923798363</v>
      </c>
      <c r="P25" s="9" t="s">
        <v>38</v>
      </c>
      <c r="Q25">
        <v>114.57</v>
      </c>
      <c r="R25">
        <v>114.57</v>
      </c>
      <c r="S25" t="s">
        <v>39</v>
      </c>
      <c r="T25">
        <v>178.38529458940801</v>
      </c>
      <c r="U25">
        <v>789158.15999999992</v>
      </c>
      <c r="V25">
        <v>1228717.9091318424</v>
      </c>
      <c r="W25" t="s">
        <v>30</v>
      </c>
      <c r="X25" t="s">
        <v>40</v>
      </c>
      <c r="Y25" t="s">
        <v>43</v>
      </c>
      <c r="Z25" t="b">
        <v>0</v>
      </c>
      <c r="AA25" t="s">
        <v>44</v>
      </c>
      <c r="AB25" t="s">
        <v>45</v>
      </c>
      <c r="AC25" t="s">
        <v>46</v>
      </c>
    </row>
    <row r="26" spans="2:29" x14ac:dyDescent="0.35">
      <c r="B26" t="s">
        <v>38</v>
      </c>
      <c r="C26">
        <v>26.61</v>
      </c>
      <c r="D26" t="s">
        <v>39</v>
      </c>
      <c r="E26" s="10">
        <v>41.431724613984002</v>
      </c>
      <c r="F26" t="s">
        <v>30</v>
      </c>
      <c r="G26" s="14">
        <v>46023</v>
      </c>
      <c r="H26">
        <v>8251</v>
      </c>
      <c r="I26">
        <v>219559.11</v>
      </c>
      <c r="J26">
        <v>1763.3939883056601</v>
      </c>
      <c r="K26" t="s">
        <v>40</v>
      </c>
      <c r="L26" s="9" t="s">
        <v>41</v>
      </c>
      <c r="M26" t="s">
        <v>42</v>
      </c>
      <c r="N26" s="12">
        <v>544.68471332995205</v>
      </c>
      <c r="O26" s="13">
        <v>13.146561443066517</v>
      </c>
      <c r="P26" s="9" t="s">
        <v>38</v>
      </c>
      <c r="Q26">
        <v>376.44</v>
      </c>
      <c r="R26">
        <v>376.44</v>
      </c>
      <c r="S26" t="s">
        <v>39</v>
      </c>
      <c r="T26">
        <v>586.11643794393603</v>
      </c>
      <c r="U26">
        <v>7020982.4400000004</v>
      </c>
      <c r="V26">
        <v>10931657.68409235</v>
      </c>
      <c r="W26" t="s">
        <v>30</v>
      </c>
      <c r="X26" t="s">
        <v>40</v>
      </c>
      <c r="Y26" t="s">
        <v>43</v>
      </c>
      <c r="Z26" t="b">
        <v>0</v>
      </c>
      <c r="AA26" t="s">
        <v>44</v>
      </c>
      <c r="AB26" t="s">
        <v>45</v>
      </c>
      <c r="AC26" t="s">
        <v>46</v>
      </c>
    </row>
    <row r="27" spans="2:29" x14ac:dyDescent="0.35">
      <c r="B27" t="s">
        <v>128</v>
      </c>
      <c r="C27">
        <v>307.42</v>
      </c>
      <c r="D27" t="s">
        <v>39</v>
      </c>
      <c r="E27" s="10">
        <v>478.65241566444803</v>
      </c>
      <c r="F27" t="s">
        <v>30</v>
      </c>
      <c r="G27" s="14">
        <v>46023</v>
      </c>
      <c r="H27">
        <v>17672</v>
      </c>
      <c r="I27">
        <v>5432726.2400000002</v>
      </c>
      <c r="J27">
        <v>463.48725227699202</v>
      </c>
      <c r="K27" t="s">
        <v>40</v>
      </c>
      <c r="L27" s="9" t="s">
        <v>41</v>
      </c>
      <c r="M27" t="s">
        <v>42</v>
      </c>
      <c r="N27" s="12">
        <v>369.61582510761605</v>
      </c>
      <c r="O27" s="13">
        <v>0.77220089779454826</v>
      </c>
      <c r="P27" s="9" t="s">
        <v>128</v>
      </c>
      <c r="Q27">
        <v>70.03</v>
      </c>
      <c r="R27">
        <v>70.03</v>
      </c>
      <c r="S27" t="s">
        <v>39</v>
      </c>
      <c r="T27">
        <v>109.03659055683201</v>
      </c>
      <c r="U27">
        <v>1233578.45</v>
      </c>
      <c r="V27">
        <v>1920679.5426585958</v>
      </c>
      <c r="W27" t="s">
        <v>30</v>
      </c>
      <c r="X27" t="s">
        <v>40</v>
      </c>
      <c r="Y27" t="s">
        <v>129</v>
      </c>
      <c r="Z27" t="b">
        <v>0</v>
      </c>
      <c r="AA27" t="s">
        <v>44</v>
      </c>
      <c r="AB27" t="s">
        <v>45</v>
      </c>
      <c r="AC27" t="s">
        <v>46</v>
      </c>
    </row>
    <row r="28" spans="2:29" x14ac:dyDescent="0.35">
      <c r="B28" t="s">
        <v>128</v>
      </c>
      <c r="C28">
        <v>588.74</v>
      </c>
      <c r="D28" t="s">
        <v>39</v>
      </c>
      <c r="E28" s="10">
        <v>916.66717584505602</v>
      </c>
      <c r="F28" t="s">
        <v>30</v>
      </c>
      <c r="G28" s="14">
        <v>46023</v>
      </c>
      <c r="H28">
        <v>15033</v>
      </c>
      <c r="I28">
        <v>8850528.4199999999</v>
      </c>
      <c r="J28">
        <v>1274.58994376173</v>
      </c>
      <c r="K28" t="s">
        <v>40</v>
      </c>
      <c r="L28" s="9" t="s">
        <v>41</v>
      </c>
      <c r="M28" t="s">
        <v>42</v>
      </c>
      <c r="N28" s="12">
        <v>482.54491140044803</v>
      </c>
      <c r="O28" s="13">
        <v>0.52641233821381261</v>
      </c>
      <c r="P28" s="9" t="s">
        <v>128</v>
      </c>
      <c r="Q28">
        <v>278.82</v>
      </c>
      <c r="R28">
        <v>278.82</v>
      </c>
      <c r="S28" t="s">
        <v>39</v>
      </c>
      <c r="T28">
        <v>434.12226444460799</v>
      </c>
      <c r="U28">
        <v>1643922.72</v>
      </c>
      <c r="V28">
        <v>2559584.8711654088</v>
      </c>
      <c r="W28" t="s">
        <v>30</v>
      </c>
      <c r="X28" t="s">
        <v>40</v>
      </c>
      <c r="Y28" t="s">
        <v>129</v>
      </c>
      <c r="Z28" t="b">
        <v>0</v>
      </c>
      <c r="AA28" t="s">
        <v>44</v>
      </c>
      <c r="AB28" t="s">
        <v>45</v>
      </c>
      <c r="AC28" t="s">
        <v>46</v>
      </c>
    </row>
    <row r="29" spans="2:29" x14ac:dyDescent="0.35">
      <c r="B29" t="s">
        <v>128</v>
      </c>
      <c r="C29">
        <v>260.75</v>
      </c>
      <c r="D29" t="s">
        <v>39</v>
      </c>
      <c r="E29" s="10">
        <v>405.9873052648</v>
      </c>
      <c r="F29" t="s">
        <v>30</v>
      </c>
      <c r="G29" s="14">
        <v>46023</v>
      </c>
      <c r="H29">
        <v>17399</v>
      </c>
      <c r="I29">
        <v>4536789.25</v>
      </c>
      <c r="J29">
        <v>115.87181306924801</v>
      </c>
      <c r="K29" t="s">
        <v>40</v>
      </c>
      <c r="L29" s="9" t="s">
        <v>41</v>
      </c>
      <c r="M29" t="s">
        <v>42</v>
      </c>
      <c r="N29" s="12">
        <v>224.37902420598408</v>
      </c>
      <c r="O29" s="13">
        <v>0.55267497603068094</v>
      </c>
      <c r="P29" s="9" t="s">
        <v>128</v>
      </c>
      <c r="Q29">
        <v>404.86</v>
      </c>
      <c r="R29">
        <v>404.86</v>
      </c>
      <c r="S29" t="s">
        <v>39</v>
      </c>
      <c r="T29">
        <v>630.36632947078408</v>
      </c>
      <c r="U29">
        <v>5648201.8600000003</v>
      </c>
      <c r="V29">
        <v>8794240.6624469087</v>
      </c>
      <c r="W29" t="s">
        <v>30</v>
      </c>
      <c r="X29" t="s">
        <v>40</v>
      </c>
      <c r="Y29" t="s">
        <v>129</v>
      </c>
      <c r="Z29" t="b">
        <v>0</v>
      </c>
      <c r="AA29" t="s">
        <v>44</v>
      </c>
      <c r="AB29" t="s">
        <v>45</v>
      </c>
      <c r="AC29" t="s">
        <v>46</v>
      </c>
    </row>
    <row r="30" spans="2:29" x14ac:dyDescent="0.35">
      <c r="B30" t="s">
        <v>128</v>
      </c>
      <c r="C30">
        <v>275.89999999999998</v>
      </c>
      <c r="D30" t="s">
        <v>39</v>
      </c>
      <c r="E30" s="10">
        <v>429.57582942495998</v>
      </c>
      <c r="F30" t="s">
        <v>30</v>
      </c>
      <c r="G30" s="14">
        <v>46023</v>
      </c>
      <c r="H30">
        <v>890</v>
      </c>
      <c r="I30">
        <v>245550.99999999997</v>
      </c>
      <c r="J30">
        <v>1274.58994376173</v>
      </c>
      <c r="K30" t="s">
        <v>40</v>
      </c>
      <c r="L30" s="9" t="s">
        <v>41</v>
      </c>
      <c r="M30" t="s">
        <v>42</v>
      </c>
      <c r="N30" s="12">
        <v>38.053038315136007</v>
      </c>
      <c r="O30" s="13">
        <v>8.8582819862268958E-2</v>
      </c>
      <c r="P30" s="9" t="s">
        <v>128</v>
      </c>
      <c r="Q30">
        <v>300.33999999999997</v>
      </c>
      <c r="R30">
        <v>300.33999999999997</v>
      </c>
      <c r="S30" t="s">
        <v>39</v>
      </c>
      <c r="T30">
        <v>467.62886774009598</v>
      </c>
      <c r="U30">
        <v>4317988.18</v>
      </c>
      <c r="V30">
        <v>6723100.2314993599</v>
      </c>
      <c r="W30" t="s">
        <v>30</v>
      </c>
      <c r="X30" t="s">
        <v>40</v>
      </c>
      <c r="Y30" t="s">
        <v>129</v>
      </c>
      <c r="Z30" t="b">
        <v>0</v>
      </c>
      <c r="AA30" t="s">
        <v>44</v>
      </c>
      <c r="AB30" t="s">
        <v>45</v>
      </c>
      <c r="AC30" t="s">
        <v>46</v>
      </c>
    </row>
    <row r="31" spans="2:29" x14ac:dyDescent="0.35">
      <c r="B31" t="s">
        <v>128</v>
      </c>
      <c r="C31">
        <v>936.53</v>
      </c>
      <c r="D31" t="s">
        <v>39</v>
      </c>
      <c r="E31" s="10">
        <v>1458.1756126544319</v>
      </c>
      <c r="F31" t="s">
        <v>30</v>
      </c>
      <c r="G31" s="14">
        <v>46023</v>
      </c>
      <c r="H31">
        <v>17618</v>
      </c>
      <c r="I31">
        <v>16499785.539999999</v>
      </c>
      <c r="J31">
        <v>115.87181306924801</v>
      </c>
      <c r="K31" t="s">
        <v>40</v>
      </c>
      <c r="L31" s="9" t="s">
        <v>41</v>
      </c>
      <c r="M31" t="s">
        <v>42</v>
      </c>
      <c r="N31" s="12">
        <v>1030.2657714044799</v>
      </c>
      <c r="O31" s="13">
        <v>0.70654437124277913</v>
      </c>
      <c r="P31" s="9" t="s">
        <v>128</v>
      </c>
      <c r="Q31">
        <v>274.83</v>
      </c>
      <c r="R31">
        <v>274.83</v>
      </c>
      <c r="S31" t="s">
        <v>39</v>
      </c>
      <c r="T31">
        <v>427.90984124995197</v>
      </c>
      <c r="U31">
        <v>2377004.67</v>
      </c>
      <c r="V31">
        <v>3700992.2169708344</v>
      </c>
      <c r="W31" t="s">
        <v>30</v>
      </c>
      <c r="X31" t="s">
        <v>40</v>
      </c>
      <c r="Y31" t="s">
        <v>129</v>
      </c>
      <c r="Z31" t="b">
        <v>0</v>
      </c>
      <c r="AA31" t="s">
        <v>44</v>
      </c>
      <c r="AB31" t="s">
        <v>45</v>
      </c>
      <c r="AC31" t="s">
        <v>46</v>
      </c>
    </row>
    <row r="32" spans="2:29" x14ac:dyDescent="0.35">
      <c r="B32" t="s">
        <v>128</v>
      </c>
      <c r="C32">
        <v>705.14</v>
      </c>
      <c r="D32" t="s">
        <v>39</v>
      </c>
      <c r="E32" s="10">
        <v>1097.9017773132159</v>
      </c>
      <c r="F32" t="s">
        <v>30</v>
      </c>
      <c r="G32" s="14">
        <v>46023</v>
      </c>
      <c r="H32">
        <v>2906</v>
      </c>
      <c r="I32">
        <v>2049136.8399999999</v>
      </c>
      <c r="J32">
        <v>1042.8463176232301</v>
      </c>
      <c r="K32" t="s">
        <v>40</v>
      </c>
      <c r="L32" s="9" t="s">
        <v>41</v>
      </c>
      <c r="M32" t="s">
        <v>42</v>
      </c>
      <c r="N32" s="12">
        <v>373.30591106534416</v>
      </c>
      <c r="O32" s="13">
        <v>0.34001758516039388</v>
      </c>
      <c r="P32" s="9" t="s">
        <v>128</v>
      </c>
      <c r="Q32">
        <v>944.9</v>
      </c>
      <c r="R32">
        <v>944.9</v>
      </c>
      <c r="S32" t="s">
        <v>39</v>
      </c>
      <c r="T32">
        <v>1471.2076883785601</v>
      </c>
      <c r="U32">
        <v>10562092.199999999</v>
      </c>
      <c r="V32">
        <v>16445159.540695544</v>
      </c>
      <c r="W32" t="s">
        <v>30</v>
      </c>
      <c r="X32" t="s">
        <v>40</v>
      </c>
      <c r="Y32" t="s">
        <v>129</v>
      </c>
      <c r="Z32" t="b">
        <v>0</v>
      </c>
      <c r="AA32" t="s">
        <v>44</v>
      </c>
      <c r="AB32" t="s">
        <v>45</v>
      </c>
      <c r="AC32" t="s">
        <v>46</v>
      </c>
    </row>
    <row r="33" spans="2:29" x14ac:dyDescent="0.35">
      <c r="B33" t="s">
        <v>128</v>
      </c>
      <c r="C33">
        <v>359.75</v>
      </c>
      <c r="D33" t="s">
        <v>39</v>
      </c>
      <c r="E33" s="10">
        <v>560.13013641040004</v>
      </c>
      <c r="F33" t="s">
        <v>30</v>
      </c>
      <c r="G33" s="14">
        <v>46023</v>
      </c>
      <c r="H33">
        <v>2333</v>
      </c>
      <c r="I33">
        <v>839296.75</v>
      </c>
      <c r="J33">
        <v>231.74362613849601</v>
      </c>
      <c r="K33" t="s">
        <v>40</v>
      </c>
      <c r="L33" s="9" t="s">
        <v>41</v>
      </c>
      <c r="M33" t="s">
        <v>42</v>
      </c>
      <c r="N33" s="12">
        <v>101.42286889721601</v>
      </c>
      <c r="O33" s="13">
        <v>0.18107018763029881</v>
      </c>
      <c r="P33" s="9" t="s">
        <v>128</v>
      </c>
      <c r="Q33">
        <v>294.61</v>
      </c>
      <c r="R33">
        <v>294.61</v>
      </c>
      <c r="S33" t="s">
        <v>39</v>
      </c>
      <c r="T33">
        <v>458.70726751318404</v>
      </c>
      <c r="U33">
        <v>231268.85</v>
      </c>
      <c r="V33">
        <v>360085.20499784948</v>
      </c>
      <c r="W33" t="s">
        <v>30</v>
      </c>
      <c r="X33" t="s">
        <v>40</v>
      </c>
      <c r="Y33" t="s">
        <v>129</v>
      </c>
      <c r="Z33" t="b">
        <v>0</v>
      </c>
      <c r="AA33" t="s">
        <v>44</v>
      </c>
      <c r="AB33" t="s">
        <v>45</v>
      </c>
      <c r="AC33" t="s">
        <v>46</v>
      </c>
    </row>
    <row r="34" spans="2:29" x14ac:dyDescent="0.35">
      <c r="B34" t="s">
        <v>130</v>
      </c>
      <c r="C34">
        <v>79.67</v>
      </c>
      <c r="D34" t="s">
        <v>39</v>
      </c>
      <c r="E34" s="10">
        <v>124.046054114848</v>
      </c>
      <c r="F34" t="s">
        <v>30</v>
      </c>
      <c r="G34" s="14">
        <v>46023</v>
      </c>
      <c r="H34">
        <v>4340</v>
      </c>
      <c r="I34">
        <v>345767.8</v>
      </c>
      <c r="J34">
        <v>5134.9336649823699</v>
      </c>
      <c r="K34" t="s">
        <v>40</v>
      </c>
      <c r="L34" s="9" t="s">
        <v>41</v>
      </c>
      <c r="M34" t="s">
        <v>42</v>
      </c>
      <c r="N34" s="12">
        <v>50.244334960288001</v>
      </c>
      <c r="O34" s="13">
        <v>0.40504581398267853</v>
      </c>
      <c r="P34" s="9" t="s">
        <v>130</v>
      </c>
      <c r="Q34">
        <v>47.4</v>
      </c>
      <c r="R34">
        <v>47.4</v>
      </c>
      <c r="S34" t="s">
        <v>39</v>
      </c>
      <c r="T34">
        <v>73.801719154560004</v>
      </c>
      <c r="U34">
        <v>846611.4</v>
      </c>
      <c r="V34">
        <v>1318172.5058195964</v>
      </c>
      <c r="W34" t="s">
        <v>30</v>
      </c>
      <c r="X34" t="s">
        <v>40</v>
      </c>
      <c r="Y34" t="s">
        <v>131</v>
      </c>
      <c r="Z34" t="b">
        <v>0</v>
      </c>
      <c r="AA34" t="s">
        <v>44</v>
      </c>
      <c r="AB34" t="s">
        <v>45</v>
      </c>
      <c r="AC34" t="s">
        <v>46</v>
      </c>
    </row>
    <row r="35" spans="2:29" x14ac:dyDescent="0.35">
      <c r="B35" t="s">
        <v>130</v>
      </c>
      <c r="C35">
        <v>793.78</v>
      </c>
      <c r="D35" t="s">
        <v>39</v>
      </c>
      <c r="E35" s="10">
        <v>1235.9141061288319</v>
      </c>
      <c r="F35" t="s">
        <v>30</v>
      </c>
      <c r="G35" s="14">
        <v>46023</v>
      </c>
      <c r="H35">
        <v>884</v>
      </c>
      <c r="I35">
        <v>701701.52</v>
      </c>
      <c r="J35">
        <v>1116.2120772553601</v>
      </c>
      <c r="K35" t="s">
        <v>40</v>
      </c>
      <c r="L35" s="9" t="s">
        <v>41</v>
      </c>
      <c r="M35" t="s">
        <v>42</v>
      </c>
      <c r="N35" s="12">
        <v>154.53208071919994</v>
      </c>
      <c r="O35" s="13">
        <v>0.12503464435989817</v>
      </c>
      <c r="P35" s="9" t="s">
        <v>130</v>
      </c>
      <c r="Q35">
        <v>694.53</v>
      </c>
      <c r="R35">
        <v>694.53</v>
      </c>
      <c r="S35" t="s">
        <v>39</v>
      </c>
      <c r="T35">
        <v>1081.382025409632</v>
      </c>
      <c r="U35">
        <v>3480984.36</v>
      </c>
      <c r="V35">
        <v>5419886.7113530757</v>
      </c>
      <c r="W35" t="s">
        <v>30</v>
      </c>
      <c r="X35" t="s">
        <v>40</v>
      </c>
      <c r="Y35" t="s">
        <v>131</v>
      </c>
      <c r="Z35" t="b">
        <v>0</v>
      </c>
      <c r="AA35" t="s">
        <v>44</v>
      </c>
      <c r="AB35" t="s">
        <v>45</v>
      </c>
      <c r="AC35" t="s">
        <v>46</v>
      </c>
    </row>
    <row r="36" spans="2:29" x14ac:dyDescent="0.35">
      <c r="B36" t="s">
        <v>130</v>
      </c>
      <c r="C36">
        <v>508.09</v>
      </c>
      <c r="D36" t="s">
        <v>39</v>
      </c>
      <c r="E36" s="10">
        <v>791.095263401696</v>
      </c>
      <c r="F36" t="s">
        <v>30</v>
      </c>
      <c r="G36" s="14">
        <v>46023</v>
      </c>
      <c r="H36">
        <v>1993</v>
      </c>
      <c r="I36">
        <v>1012623.37</v>
      </c>
      <c r="J36">
        <v>5134.9336649823699</v>
      </c>
      <c r="K36" t="s">
        <v>40</v>
      </c>
      <c r="L36" s="9" t="s">
        <v>41</v>
      </c>
      <c r="M36" t="s">
        <v>42</v>
      </c>
      <c r="N36" s="12">
        <v>473.62331117353597</v>
      </c>
      <c r="O36" s="13">
        <v>0.59869314491527093</v>
      </c>
      <c r="P36" s="9" t="s">
        <v>130</v>
      </c>
      <c r="Q36">
        <v>812.28</v>
      </c>
      <c r="R36">
        <v>812.28</v>
      </c>
      <c r="S36" t="s">
        <v>39</v>
      </c>
      <c r="T36">
        <v>1264.718574575232</v>
      </c>
      <c r="U36">
        <v>2691083.64</v>
      </c>
      <c r="V36">
        <v>4190012.6375677437</v>
      </c>
      <c r="W36" t="s">
        <v>30</v>
      </c>
      <c r="X36" t="s">
        <v>40</v>
      </c>
      <c r="Y36" t="s">
        <v>131</v>
      </c>
      <c r="Z36" t="b">
        <v>0</v>
      </c>
      <c r="AA36" t="s">
        <v>44</v>
      </c>
      <c r="AB36" t="s">
        <v>45</v>
      </c>
      <c r="AC36" t="s">
        <v>46</v>
      </c>
    </row>
    <row r="37" spans="2:29" x14ac:dyDescent="0.35">
      <c r="B37" t="s">
        <v>130</v>
      </c>
      <c r="C37">
        <v>618.87</v>
      </c>
      <c r="D37" t="s">
        <v>39</v>
      </c>
      <c r="E37" s="10">
        <v>963.57953445532803</v>
      </c>
      <c r="F37" t="s">
        <v>30</v>
      </c>
      <c r="G37" s="14">
        <v>46023</v>
      </c>
      <c r="H37">
        <v>18907</v>
      </c>
      <c r="I37">
        <v>11700975.09</v>
      </c>
      <c r="J37">
        <v>1116.2120772553601</v>
      </c>
      <c r="K37" t="s">
        <v>40</v>
      </c>
      <c r="L37" s="9" t="s">
        <v>41</v>
      </c>
      <c r="M37" t="s">
        <v>42</v>
      </c>
      <c r="N37" s="12">
        <v>272.66154131532812</v>
      </c>
      <c r="O37" s="13">
        <v>0.28296734370707916</v>
      </c>
      <c r="P37" s="9" t="s">
        <v>130</v>
      </c>
      <c r="Q37">
        <v>793.99</v>
      </c>
      <c r="R37">
        <v>793.99</v>
      </c>
      <c r="S37" t="s">
        <v>39</v>
      </c>
      <c r="T37">
        <v>1236.2410757706562</v>
      </c>
      <c r="U37">
        <v>9078481.6600000001</v>
      </c>
      <c r="V37">
        <v>14135180.460361682</v>
      </c>
      <c r="W37" t="s">
        <v>30</v>
      </c>
      <c r="X37" t="s">
        <v>40</v>
      </c>
      <c r="Y37" t="s">
        <v>131</v>
      </c>
      <c r="Z37" t="b">
        <v>0</v>
      </c>
      <c r="AA37" t="s">
        <v>44</v>
      </c>
      <c r="AB37" t="s">
        <v>45</v>
      </c>
      <c r="AC37" t="s">
        <v>46</v>
      </c>
    </row>
    <row r="38" spans="2:29" x14ac:dyDescent="0.35">
      <c r="B38" t="s">
        <v>130</v>
      </c>
      <c r="C38">
        <v>12.8</v>
      </c>
      <c r="D38" t="s">
        <v>39</v>
      </c>
      <c r="E38" s="10">
        <v>19.929578168320003</v>
      </c>
      <c r="F38" t="s">
        <v>30</v>
      </c>
      <c r="G38" s="14">
        <v>46023</v>
      </c>
      <c r="H38">
        <v>4848</v>
      </c>
      <c r="I38">
        <v>62054.400000000001</v>
      </c>
      <c r="J38">
        <v>5134.9336649823699</v>
      </c>
      <c r="K38" t="s">
        <v>40</v>
      </c>
      <c r="L38" s="9" t="s">
        <v>41</v>
      </c>
      <c r="M38" t="s">
        <v>42</v>
      </c>
      <c r="N38" s="12">
        <v>733.05036698646404</v>
      </c>
      <c r="O38" s="13">
        <v>36.782031249999996</v>
      </c>
      <c r="P38" s="9" t="s">
        <v>130</v>
      </c>
      <c r="Q38">
        <v>483.61</v>
      </c>
      <c r="R38">
        <v>483.61</v>
      </c>
      <c r="S38" t="s">
        <v>39</v>
      </c>
      <c r="T38">
        <v>752.97994515478399</v>
      </c>
      <c r="U38">
        <v>1734225.46</v>
      </c>
      <c r="V38">
        <v>2700186.0833250554</v>
      </c>
      <c r="W38" t="s">
        <v>30</v>
      </c>
      <c r="X38" t="s">
        <v>40</v>
      </c>
      <c r="Y38" t="s">
        <v>131</v>
      </c>
      <c r="Z38" t="b">
        <v>0</v>
      </c>
      <c r="AA38" t="s">
        <v>44</v>
      </c>
      <c r="AB38" t="s">
        <v>45</v>
      </c>
      <c r="AC38" t="s">
        <v>46</v>
      </c>
    </row>
    <row r="39" spans="2:29" x14ac:dyDescent="0.35">
      <c r="B39" t="s">
        <v>130</v>
      </c>
      <c r="C39">
        <v>341.96</v>
      </c>
      <c r="D39" t="s">
        <v>39</v>
      </c>
      <c r="E39" s="10">
        <v>532.43113675302402</v>
      </c>
      <c r="F39" t="s">
        <v>30</v>
      </c>
      <c r="G39" s="14">
        <v>46023</v>
      </c>
      <c r="H39">
        <v>8538</v>
      </c>
      <c r="I39">
        <v>2919654.48</v>
      </c>
      <c r="J39">
        <v>1116.2120772553601</v>
      </c>
      <c r="K39" t="s">
        <v>40</v>
      </c>
      <c r="L39" s="9" t="s">
        <v>41</v>
      </c>
      <c r="M39" t="s">
        <v>42</v>
      </c>
      <c r="N39" s="12">
        <v>494.92304784092812</v>
      </c>
      <c r="O39" s="13">
        <v>0.9295531641127619</v>
      </c>
      <c r="P39" s="9" t="s">
        <v>130</v>
      </c>
      <c r="Q39">
        <v>659.83</v>
      </c>
      <c r="R39">
        <v>659.83</v>
      </c>
      <c r="S39" t="s">
        <v>39</v>
      </c>
      <c r="T39">
        <v>1027.3541845939521</v>
      </c>
      <c r="U39">
        <v>11322022.970000001</v>
      </c>
      <c r="V39">
        <v>17628370.453447625</v>
      </c>
      <c r="W39" t="s">
        <v>30</v>
      </c>
      <c r="X39" t="s">
        <v>40</v>
      </c>
      <c r="Y39" t="s">
        <v>131</v>
      </c>
      <c r="Z39" t="b">
        <v>0</v>
      </c>
      <c r="AA39" t="s">
        <v>44</v>
      </c>
      <c r="AB39" t="s">
        <v>45</v>
      </c>
      <c r="AC39" t="s">
        <v>46</v>
      </c>
    </row>
    <row r="40" spans="2:29" x14ac:dyDescent="0.35">
      <c r="B40" t="s">
        <v>132</v>
      </c>
      <c r="C40">
        <v>748.07</v>
      </c>
      <c r="D40" t="s">
        <v>39</v>
      </c>
      <c r="E40" s="10">
        <v>1164.7437140918082</v>
      </c>
      <c r="F40" t="s">
        <v>30</v>
      </c>
      <c r="G40" s="14">
        <v>46023</v>
      </c>
      <c r="H40">
        <v>5613</v>
      </c>
      <c r="I40">
        <v>4198916.91</v>
      </c>
      <c r="J40">
        <v>10893.927816343201</v>
      </c>
      <c r="K40" t="s">
        <v>40</v>
      </c>
      <c r="L40" s="9" t="s">
        <v>41</v>
      </c>
      <c r="M40" t="s">
        <v>42</v>
      </c>
      <c r="N40" s="12">
        <v>102.59061761801627</v>
      </c>
      <c r="O40" s="13">
        <v>8.8079992514069755E-2</v>
      </c>
      <c r="P40" s="9" t="s">
        <v>132</v>
      </c>
      <c r="Q40">
        <v>682.18</v>
      </c>
      <c r="R40">
        <v>682.18</v>
      </c>
      <c r="S40" t="s">
        <v>39</v>
      </c>
      <c r="T40">
        <v>1062.1530964737919</v>
      </c>
      <c r="U40">
        <v>5805351.7999999998</v>
      </c>
      <c r="V40">
        <v>9038922.8509919699</v>
      </c>
      <c r="W40" t="s">
        <v>30</v>
      </c>
      <c r="X40" t="s">
        <v>40</v>
      </c>
      <c r="Y40" t="s">
        <v>133</v>
      </c>
      <c r="Z40" t="b">
        <v>0</v>
      </c>
      <c r="AA40" t="s">
        <v>44</v>
      </c>
      <c r="AB40" t="s">
        <v>45</v>
      </c>
      <c r="AC40" t="s">
        <v>46</v>
      </c>
    </row>
    <row r="41" spans="2:29" x14ac:dyDescent="0.35">
      <c r="B41" t="s">
        <v>132</v>
      </c>
      <c r="C41">
        <v>205.18</v>
      </c>
      <c r="D41" t="s">
        <v>39</v>
      </c>
      <c r="E41" s="10">
        <v>319.464910044992</v>
      </c>
      <c r="F41" t="s">
        <v>30</v>
      </c>
      <c r="G41" s="14">
        <v>46023</v>
      </c>
      <c r="H41">
        <v>12468</v>
      </c>
      <c r="I41">
        <v>2558184.2400000002</v>
      </c>
      <c r="J41">
        <v>8715.3290928698898</v>
      </c>
      <c r="K41" t="s">
        <v>40</v>
      </c>
      <c r="L41" s="9" t="s">
        <v>41</v>
      </c>
      <c r="M41" t="s">
        <v>42</v>
      </c>
      <c r="N41" s="12">
        <v>40.123846046688016</v>
      </c>
      <c r="O41" s="13">
        <v>0.12559703674822112</v>
      </c>
      <c r="P41" s="9" t="s">
        <v>132</v>
      </c>
      <c r="Q41">
        <v>230.95</v>
      </c>
      <c r="R41">
        <v>230.95</v>
      </c>
      <c r="S41" t="s">
        <v>39</v>
      </c>
      <c r="T41">
        <v>359.58875609168001</v>
      </c>
      <c r="U41">
        <v>3689657.1999999997</v>
      </c>
      <c r="V41">
        <v>5744789.9673206797</v>
      </c>
      <c r="W41" t="s">
        <v>30</v>
      </c>
      <c r="X41" t="s">
        <v>40</v>
      </c>
      <c r="Y41" t="s">
        <v>133</v>
      </c>
      <c r="Z41" t="b">
        <v>0</v>
      </c>
      <c r="AA41" t="s">
        <v>44</v>
      </c>
      <c r="AB41" t="s">
        <v>45</v>
      </c>
      <c r="AC41" t="s">
        <v>46</v>
      </c>
    </row>
    <row r="42" spans="2:29" x14ac:dyDescent="0.35">
      <c r="B42" t="s">
        <v>132</v>
      </c>
      <c r="C42">
        <v>801.72</v>
      </c>
      <c r="D42" t="s">
        <v>39</v>
      </c>
      <c r="E42" s="10">
        <v>1248.276672586368</v>
      </c>
      <c r="F42" t="s">
        <v>30</v>
      </c>
      <c r="G42" s="14">
        <v>46023</v>
      </c>
      <c r="H42">
        <v>19919</v>
      </c>
      <c r="I42">
        <v>15969460.68</v>
      </c>
      <c r="J42">
        <v>8715.3290928698898</v>
      </c>
      <c r="K42" t="s">
        <v>40</v>
      </c>
      <c r="L42" s="9" t="s">
        <v>41</v>
      </c>
      <c r="M42" t="s">
        <v>42</v>
      </c>
      <c r="N42" s="12">
        <v>773.781442367968</v>
      </c>
      <c r="O42" s="13">
        <v>0.61987975851918375</v>
      </c>
      <c r="P42" s="9" t="s">
        <v>132</v>
      </c>
      <c r="Q42">
        <v>304.75</v>
      </c>
      <c r="R42">
        <v>304.75</v>
      </c>
      <c r="S42" t="s">
        <v>39</v>
      </c>
      <c r="T42">
        <v>474.49523021840002</v>
      </c>
      <c r="U42">
        <v>857566.5</v>
      </c>
      <c r="V42">
        <v>1335229.5778345778</v>
      </c>
      <c r="W42" t="s">
        <v>30</v>
      </c>
      <c r="X42" t="s">
        <v>40</v>
      </c>
      <c r="Y42" t="s">
        <v>133</v>
      </c>
      <c r="Z42" t="b">
        <v>0</v>
      </c>
      <c r="AA42" t="s">
        <v>44</v>
      </c>
      <c r="AB42" t="s">
        <v>45</v>
      </c>
      <c r="AC42" t="s">
        <v>46</v>
      </c>
    </row>
    <row r="43" spans="2:29" x14ac:dyDescent="0.35">
      <c r="B43" t="s">
        <v>134</v>
      </c>
      <c r="C43">
        <v>276.72000000000003</v>
      </c>
      <c r="D43" t="s">
        <v>39</v>
      </c>
      <c r="E43" s="10">
        <v>430.85256802636803</v>
      </c>
      <c r="F43" t="s">
        <v>30</v>
      </c>
      <c r="G43" s="14">
        <v>46023</v>
      </c>
      <c r="H43">
        <v>7442</v>
      </c>
      <c r="I43">
        <v>2059350.2400000002</v>
      </c>
      <c r="J43">
        <v>367.4515974784</v>
      </c>
      <c r="K43" t="s">
        <v>40</v>
      </c>
      <c r="L43" s="9" t="s">
        <v>41</v>
      </c>
      <c r="M43" t="s">
        <v>42</v>
      </c>
      <c r="N43" s="12">
        <v>219.87929913516797</v>
      </c>
      <c r="O43" s="13">
        <v>0.51033535703960675</v>
      </c>
      <c r="P43" s="9" t="s">
        <v>134</v>
      </c>
      <c r="Q43">
        <v>417.94</v>
      </c>
      <c r="R43">
        <v>417.94</v>
      </c>
      <c r="S43" t="s">
        <v>39</v>
      </c>
      <c r="T43">
        <v>650.731867161536</v>
      </c>
      <c r="U43">
        <v>2778465.12</v>
      </c>
      <c r="V43">
        <v>4326065.4528898913</v>
      </c>
      <c r="W43" t="s">
        <v>30</v>
      </c>
      <c r="X43" t="s">
        <v>40</v>
      </c>
      <c r="Y43" t="s">
        <v>135</v>
      </c>
      <c r="Z43" t="b">
        <v>0</v>
      </c>
      <c r="AA43" t="s">
        <v>44</v>
      </c>
      <c r="AB43" t="s">
        <v>45</v>
      </c>
      <c r="AC43" t="s">
        <v>46</v>
      </c>
    </row>
    <row r="44" spans="2:29" x14ac:dyDescent="0.35">
      <c r="B44" t="s">
        <v>134</v>
      </c>
      <c r="C44">
        <v>694.41</v>
      </c>
      <c r="D44" t="s">
        <v>39</v>
      </c>
      <c r="E44" s="10">
        <v>1081.1951856143039</v>
      </c>
      <c r="F44" t="s">
        <v>30</v>
      </c>
      <c r="G44" s="14">
        <v>46023</v>
      </c>
      <c r="H44">
        <v>19285</v>
      </c>
      <c r="I44">
        <v>13391696.85</v>
      </c>
      <c r="J44">
        <v>551.17739621759995</v>
      </c>
      <c r="K44" t="s">
        <v>40</v>
      </c>
      <c r="L44" s="9" t="s">
        <v>41</v>
      </c>
      <c r="M44" t="s">
        <v>42</v>
      </c>
      <c r="N44" s="12">
        <v>6.8196525294720232</v>
      </c>
      <c r="O44" s="13">
        <v>6.307512852637513E-3</v>
      </c>
      <c r="P44" s="9" t="s">
        <v>134</v>
      </c>
      <c r="Q44">
        <v>690.03</v>
      </c>
      <c r="R44">
        <v>690.03</v>
      </c>
      <c r="S44" t="s">
        <v>39</v>
      </c>
      <c r="T44">
        <v>1074.3755330848319</v>
      </c>
      <c r="U44">
        <v>12410189.549999999</v>
      </c>
      <c r="V44">
        <v>19322643.962530702</v>
      </c>
      <c r="W44" t="s">
        <v>30</v>
      </c>
      <c r="X44" t="s">
        <v>40</v>
      </c>
      <c r="Y44" t="s">
        <v>135</v>
      </c>
      <c r="Z44" t="b">
        <v>0</v>
      </c>
      <c r="AA44" t="s">
        <v>44</v>
      </c>
      <c r="AB44" t="s">
        <v>45</v>
      </c>
      <c r="AC44" t="s">
        <v>46</v>
      </c>
    </row>
    <row r="45" spans="2:29" x14ac:dyDescent="0.35">
      <c r="B45" t="s">
        <v>134</v>
      </c>
      <c r="C45">
        <v>67.03</v>
      </c>
      <c r="D45" t="s">
        <v>39</v>
      </c>
      <c r="E45" s="10">
        <v>104.365595673632</v>
      </c>
      <c r="F45" t="s">
        <v>30</v>
      </c>
      <c r="G45" s="14">
        <v>46023</v>
      </c>
      <c r="H45">
        <v>18220</v>
      </c>
      <c r="I45">
        <v>1221286.6000000001</v>
      </c>
      <c r="J45">
        <v>367.4515974784</v>
      </c>
      <c r="K45" t="s">
        <v>40</v>
      </c>
      <c r="L45" s="9" t="s">
        <v>41</v>
      </c>
      <c r="M45" t="s">
        <v>42</v>
      </c>
      <c r="N45" s="12">
        <v>787.71657710284808</v>
      </c>
      <c r="O45" s="13">
        <v>7.547665224526332</v>
      </c>
      <c r="P45" s="9" t="s">
        <v>134</v>
      </c>
      <c r="Q45">
        <v>572.95000000000005</v>
      </c>
      <c r="R45">
        <v>572.95000000000005</v>
      </c>
      <c r="S45" t="s">
        <v>39</v>
      </c>
      <c r="T45">
        <v>892.08217277648009</v>
      </c>
      <c r="U45">
        <v>241784.90000000002</v>
      </c>
      <c r="V45">
        <v>376458.67691167461</v>
      </c>
      <c r="W45" t="s">
        <v>30</v>
      </c>
      <c r="X45" t="s">
        <v>40</v>
      </c>
      <c r="Y45" t="s">
        <v>135</v>
      </c>
      <c r="Z45" t="b">
        <v>0</v>
      </c>
      <c r="AA45" t="s">
        <v>44</v>
      </c>
      <c r="AB45" t="s">
        <v>45</v>
      </c>
      <c r="AC45" t="s">
        <v>46</v>
      </c>
    </row>
    <row r="46" spans="2:29" x14ac:dyDescent="0.35">
      <c r="B46" t="s">
        <v>136</v>
      </c>
      <c r="C46">
        <v>50.47</v>
      </c>
      <c r="D46" t="s">
        <v>39</v>
      </c>
      <c r="E46" s="10">
        <v>78.581703918368007</v>
      </c>
      <c r="F46" t="s">
        <v>30</v>
      </c>
      <c r="G46" s="14">
        <v>46023</v>
      </c>
      <c r="H46">
        <v>9504</v>
      </c>
      <c r="I46">
        <v>479666.88</v>
      </c>
      <c r="J46">
        <v>1611.0261352156799</v>
      </c>
      <c r="K46" t="s">
        <v>40</v>
      </c>
      <c r="L46" s="9" t="s">
        <v>41</v>
      </c>
      <c r="M46" t="s">
        <v>42</v>
      </c>
      <c r="N46" s="12">
        <v>971.08426623433593</v>
      </c>
      <c r="O46" s="13">
        <v>12.357638200911431</v>
      </c>
      <c r="P46" s="9" t="s">
        <v>136</v>
      </c>
      <c r="Q46">
        <v>674.16</v>
      </c>
      <c r="R46">
        <v>674.16</v>
      </c>
      <c r="S46" t="s">
        <v>39</v>
      </c>
      <c r="T46">
        <v>1049.6659701527039</v>
      </c>
      <c r="U46">
        <v>5409459.8399999999</v>
      </c>
      <c r="V46">
        <v>8422519.7445052974</v>
      </c>
      <c r="W46" t="s">
        <v>30</v>
      </c>
      <c r="X46" t="s">
        <v>40</v>
      </c>
      <c r="Y46" t="s">
        <v>137</v>
      </c>
      <c r="Z46" t="b">
        <v>0</v>
      </c>
      <c r="AA46" t="s">
        <v>44</v>
      </c>
      <c r="AB46" t="s">
        <v>45</v>
      </c>
      <c r="AC46" t="s">
        <v>46</v>
      </c>
    </row>
    <row r="47" spans="2:29" x14ac:dyDescent="0.35">
      <c r="B47" t="s">
        <v>136</v>
      </c>
      <c r="C47">
        <v>593.45000000000005</v>
      </c>
      <c r="D47" t="s">
        <v>39</v>
      </c>
      <c r="E47" s="10">
        <v>924.00063781168012</v>
      </c>
      <c r="F47" t="s">
        <v>30</v>
      </c>
      <c r="G47" s="14">
        <v>46023</v>
      </c>
      <c r="H47">
        <v>8629</v>
      </c>
      <c r="I47">
        <v>5120880.0500000007</v>
      </c>
      <c r="J47">
        <v>1611.0261352156799</v>
      </c>
      <c r="K47" t="s">
        <v>40</v>
      </c>
      <c r="L47" s="9" t="s">
        <v>41</v>
      </c>
      <c r="M47" t="s">
        <v>42</v>
      </c>
      <c r="N47" s="12">
        <v>449.56768752505593</v>
      </c>
      <c r="O47" s="13">
        <v>0.48654478052068401</v>
      </c>
      <c r="P47" s="9" t="s">
        <v>136</v>
      </c>
      <c r="Q47">
        <v>882.19</v>
      </c>
      <c r="R47">
        <v>882.19</v>
      </c>
      <c r="S47" t="s">
        <v>39</v>
      </c>
      <c r="T47">
        <v>1373.5683253367361</v>
      </c>
      <c r="U47">
        <v>16858650.900000002</v>
      </c>
      <c r="V47">
        <v>26248890.697185025</v>
      </c>
      <c r="W47" t="s">
        <v>30</v>
      </c>
      <c r="X47" t="s">
        <v>40</v>
      </c>
      <c r="Y47" t="s">
        <v>137</v>
      </c>
      <c r="Z47" t="b">
        <v>0</v>
      </c>
      <c r="AA47" t="s">
        <v>44</v>
      </c>
      <c r="AB47" t="s">
        <v>45</v>
      </c>
      <c r="AC47" t="s">
        <v>46</v>
      </c>
    </row>
    <row r="48" spans="2:29" x14ac:dyDescent="0.35">
      <c r="B48" t="s">
        <v>136</v>
      </c>
      <c r="C48">
        <v>110.16</v>
      </c>
      <c r="D48" t="s">
        <v>39</v>
      </c>
      <c r="E48" s="10">
        <v>171.51893211110399</v>
      </c>
      <c r="F48" t="s">
        <v>30</v>
      </c>
      <c r="G48" s="14">
        <v>46023</v>
      </c>
      <c r="H48">
        <v>15198</v>
      </c>
      <c r="I48">
        <v>1674211.68</v>
      </c>
      <c r="J48">
        <v>1074.01742347712</v>
      </c>
      <c r="K48" t="s">
        <v>40</v>
      </c>
      <c r="L48" s="9" t="s">
        <v>41</v>
      </c>
      <c r="M48" t="s">
        <v>42</v>
      </c>
      <c r="N48" s="12">
        <v>1352.4087185158401</v>
      </c>
      <c r="O48" s="13">
        <v>7.8848946986201893</v>
      </c>
      <c r="P48" s="9" t="s">
        <v>136</v>
      </c>
      <c r="Q48">
        <v>978.76</v>
      </c>
      <c r="R48">
        <v>978.76</v>
      </c>
      <c r="S48" t="s">
        <v>39</v>
      </c>
      <c r="T48">
        <v>1523.9276506269441</v>
      </c>
      <c r="U48">
        <v>307330.64</v>
      </c>
      <c r="V48">
        <v>478513.28229686047</v>
      </c>
      <c r="W48" t="s">
        <v>30</v>
      </c>
      <c r="X48" t="s">
        <v>40</v>
      </c>
      <c r="Y48" t="s">
        <v>137</v>
      </c>
      <c r="Z48" t="b">
        <v>0</v>
      </c>
      <c r="AA48" t="s">
        <v>44</v>
      </c>
      <c r="AB48" t="s">
        <v>45</v>
      </c>
      <c r="AC48" t="s">
        <v>46</v>
      </c>
    </row>
    <row r="49" spans="2:29" x14ac:dyDescent="0.35">
      <c r="B49" t="s">
        <v>138</v>
      </c>
      <c r="C49">
        <v>128.96</v>
      </c>
      <c r="D49" t="s">
        <v>39</v>
      </c>
      <c r="E49" s="10">
        <v>200.79050004582402</v>
      </c>
      <c r="F49" t="s">
        <v>30</v>
      </c>
      <c r="G49" s="14">
        <v>46023</v>
      </c>
      <c r="H49">
        <v>18303</v>
      </c>
      <c r="I49">
        <v>2360354.8800000004</v>
      </c>
      <c r="J49">
        <v>12610.946610450201</v>
      </c>
      <c r="K49" t="s">
        <v>40</v>
      </c>
      <c r="L49" s="9" t="s">
        <v>41</v>
      </c>
      <c r="M49" t="s">
        <v>42</v>
      </c>
      <c r="N49" s="12">
        <v>35.172591470496002</v>
      </c>
      <c r="O49" s="13">
        <v>0.17517059553349876</v>
      </c>
      <c r="P49" s="9" t="s">
        <v>138</v>
      </c>
      <c r="Q49">
        <v>106.37</v>
      </c>
      <c r="R49">
        <v>106.37</v>
      </c>
      <c r="S49" t="s">
        <v>39</v>
      </c>
      <c r="T49">
        <v>165.61790857532802</v>
      </c>
      <c r="U49">
        <v>1266653.96</v>
      </c>
      <c r="V49">
        <v>1972178.0553150061</v>
      </c>
      <c r="W49" t="s">
        <v>30</v>
      </c>
      <c r="X49" t="s">
        <v>40</v>
      </c>
      <c r="Y49" t="s">
        <v>139</v>
      </c>
      <c r="Z49" t="b">
        <v>0</v>
      </c>
      <c r="AA49" t="s">
        <v>44</v>
      </c>
      <c r="AB49" t="s">
        <v>45</v>
      </c>
      <c r="AC49" t="s">
        <v>46</v>
      </c>
    </row>
    <row r="50" spans="2:29" x14ac:dyDescent="0.35">
      <c r="B50" t="s">
        <v>138</v>
      </c>
      <c r="C50">
        <v>825.94</v>
      </c>
      <c r="D50" t="s">
        <v>39</v>
      </c>
      <c r="E50" s="10">
        <v>1285.987171276736</v>
      </c>
      <c r="F50" t="s">
        <v>30</v>
      </c>
      <c r="G50" s="14">
        <v>46023</v>
      </c>
      <c r="H50">
        <v>5054</v>
      </c>
      <c r="I50">
        <v>4174300.7600000002</v>
      </c>
      <c r="J50">
        <v>12610.946610450201</v>
      </c>
      <c r="K50" t="s">
        <v>40</v>
      </c>
      <c r="L50" s="9" t="s">
        <v>41</v>
      </c>
      <c r="M50" t="s">
        <v>42</v>
      </c>
      <c r="N50" s="12">
        <v>726.80680382592004</v>
      </c>
      <c r="O50" s="13">
        <v>0.56517422573068266</v>
      </c>
      <c r="P50" s="9" t="s">
        <v>138</v>
      </c>
      <c r="Q50">
        <v>359.14</v>
      </c>
      <c r="R50">
        <v>359.14</v>
      </c>
      <c r="S50" t="s">
        <v>39</v>
      </c>
      <c r="T50">
        <v>559.18036745081599</v>
      </c>
      <c r="U50">
        <v>3020008.26</v>
      </c>
      <c r="V50">
        <v>4702147.7098939121</v>
      </c>
      <c r="W50" t="s">
        <v>30</v>
      </c>
      <c r="X50" t="s">
        <v>40</v>
      </c>
      <c r="Y50" t="s">
        <v>139</v>
      </c>
      <c r="Z50" t="b">
        <v>0</v>
      </c>
      <c r="AA50" t="s">
        <v>44</v>
      </c>
      <c r="AB50" t="s">
        <v>45</v>
      </c>
      <c r="AC50" t="s">
        <v>46</v>
      </c>
    </row>
    <row r="51" spans="2:29" x14ac:dyDescent="0.35">
      <c r="B51" t="s">
        <v>138</v>
      </c>
      <c r="C51">
        <v>20.440000000000001</v>
      </c>
      <c r="D51" t="s">
        <v>39</v>
      </c>
      <c r="E51" s="10">
        <v>31.825045137536002</v>
      </c>
      <c r="F51" t="s">
        <v>30</v>
      </c>
      <c r="G51" s="14">
        <v>46023</v>
      </c>
      <c r="H51">
        <v>17126</v>
      </c>
      <c r="I51">
        <v>350055.44</v>
      </c>
      <c r="J51">
        <v>10088.757288360101</v>
      </c>
      <c r="K51" t="s">
        <v>40</v>
      </c>
      <c r="L51" s="9" t="s">
        <v>41</v>
      </c>
      <c r="M51" t="s">
        <v>42</v>
      </c>
      <c r="N51" s="12">
        <v>331.64063670720003</v>
      </c>
      <c r="O51" s="13">
        <v>10.420743639921723</v>
      </c>
      <c r="P51" s="9" t="s">
        <v>138</v>
      </c>
      <c r="Q51">
        <v>233.44</v>
      </c>
      <c r="R51">
        <v>233.44</v>
      </c>
      <c r="S51" t="s">
        <v>39</v>
      </c>
      <c r="T51">
        <v>363.46568184473603</v>
      </c>
      <c r="U51">
        <v>4445397.92</v>
      </c>
      <c r="V51">
        <v>6921476.9793693079</v>
      </c>
      <c r="W51" t="s">
        <v>30</v>
      </c>
      <c r="X51" t="s">
        <v>40</v>
      </c>
      <c r="Y51" t="s">
        <v>139</v>
      </c>
      <c r="Z51" t="b">
        <v>0</v>
      </c>
      <c r="AA51" t="s">
        <v>44</v>
      </c>
      <c r="AB51" t="s">
        <v>45</v>
      </c>
      <c r="AC51" t="s">
        <v>46</v>
      </c>
    </row>
    <row r="52" spans="2:29" x14ac:dyDescent="0.35">
      <c r="B52" t="s">
        <v>140</v>
      </c>
      <c r="C52">
        <v>801.45</v>
      </c>
      <c r="D52" t="s">
        <v>39</v>
      </c>
      <c r="E52" s="10">
        <v>1247.8562830468802</v>
      </c>
      <c r="F52" t="s">
        <v>30</v>
      </c>
      <c r="G52" s="14">
        <v>46023</v>
      </c>
      <c r="H52">
        <v>4737</v>
      </c>
      <c r="I52">
        <v>3796468.6500000004</v>
      </c>
      <c r="J52">
        <v>389.93465284953601</v>
      </c>
      <c r="K52" t="s">
        <v>40</v>
      </c>
      <c r="L52" s="9" t="s">
        <v>41</v>
      </c>
      <c r="M52" t="s">
        <v>42</v>
      </c>
      <c r="N52" s="12">
        <v>909.39599381020821</v>
      </c>
      <c r="O52" s="13">
        <v>0.72876661051843539</v>
      </c>
      <c r="P52" s="9" t="s">
        <v>140</v>
      </c>
      <c r="Q52">
        <v>217.38</v>
      </c>
      <c r="R52">
        <v>217.38</v>
      </c>
      <c r="S52" t="s">
        <v>39</v>
      </c>
      <c r="T52">
        <v>338.460289236672</v>
      </c>
      <c r="U52">
        <v>3403301.28</v>
      </c>
      <c r="V52">
        <v>5298934.2882893365</v>
      </c>
      <c r="W52" t="s">
        <v>30</v>
      </c>
      <c r="X52" t="s">
        <v>40</v>
      </c>
      <c r="Y52" t="s">
        <v>141</v>
      </c>
      <c r="Z52" t="b">
        <v>0</v>
      </c>
      <c r="AA52" t="s">
        <v>44</v>
      </c>
      <c r="AB52" t="s">
        <v>45</v>
      </c>
      <c r="AC52" t="s">
        <v>46</v>
      </c>
    </row>
    <row r="53" spans="2:29" x14ac:dyDescent="0.35">
      <c r="B53" t="s">
        <v>142</v>
      </c>
      <c r="C53">
        <v>709.36</v>
      </c>
      <c r="D53" t="s">
        <v>39</v>
      </c>
      <c r="E53" s="10">
        <v>1104.4723101155842</v>
      </c>
      <c r="F53" t="s">
        <v>30</v>
      </c>
      <c r="G53" s="14">
        <v>46023</v>
      </c>
      <c r="H53">
        <v>10324</v>
      </c>
      <c r="I53">
        <v>7323432.6400000006</v>
      </c>
      <c r="J53">
        <v>1836.8687378183999</v>
      </c>
      <c r="K53" t="s">
        <v>40</v>
      </c>
      <c r="L53" s="9" t="s">
        <v>41</v>
      </c>
      <c r="M53" t="s">
        <v>42</v>
      </c>
      <c r="N53" s="12">
        <v>168.68519521529618</v>
      </c>
      <c r="O53" s="13">
        <v>0.15272922070598863</v>
      </c>
      <c r="P53" s="9" t="s">
        <v>142</v>
      </c>
      <c r="Q53">
        <v>601.02</v>
      </c>
      <c r="R53">
        <v>601.02</v>
      </c>
      <c r="S53" t="s">
        <v>39</v>
      </c>
      <c r="T53">
        <v>935.78711490028797</v>
      </c>
      <c r="U53">
        <v>9667406.6999999993</v>
      </c>
      <c r="V53">
        <v>15052135.743171131</v>
      </c>
      <c r="W53" t="s">
        <v>30</v>
      </c>
      <c r="X53" t="s">
        <v>40</v>
      </c>
      <c r="Y53" t="s">
        <v>143</v>
      </c>
      <c r="Z53" t="b">
        <v>0</v>
      </c>
      <c r="AA53" t="s">
        <v>44</v>
      </c>
      <c r="AB53" t="s">
        <v>45</v>
      </c>
      <c r="AC53" t="s">
        <v>46</v>
      </c>
    </row>
    <row r="54" spans="2:29" x14ac:dyDescent="0.35">
      <c r="B54" t="s">
        <v>144</v>
      </c>
      <c r="C54">
        <v>195.52</v>
      </c>
      <c r="D54" t="s">
        <v>39</v>
      </c>
      <c r="E54" s="10">
        <v>304.424306521088</v>
      </c>
      <c r="F54" t="s">
        <v>30</v>
      </c>
      <c r="G54" s="14">
        <v>46023</v>
      </c>
      <c r="H54">
        <v>19029</v>
      </c>
      <c r="I54">
        <v>3720550.08</v>
      </c>
      <c r="J54">
        <v>805.27951786367998</v>
      </c>
      <c r="K54" t="s">
        <v>40</v>
      </c>
      <c r="L54" s="9" t="s">
        <v>41</v>
      </c>
      <c r="M54" t="s">
        <v>42</v>
      </c>
      <c r="N54" s="12">
        <v>127.876269919072</v>
      </c>
      <c r="O54" s="13">
        <v>0.42005932896890347</v>
      </c>
      <c r="P54" s="9" t="s">
        <v>144</v>
      </c>
      <c r="Q54">
        <v>113.39</v>
      </c>
      <c r="R54">
        <v>113.39</v>
      </c>
      <c r="S54" t="s">
        <v>39</v>
      </c>
      <c r="T54">
        <v>176.548036602016</v>
      </c>
      <c r="U54">
        <v>1725569.02</v>
      </c>
      <c r="V54">
        <v>2686708.0210094796</v>
      </c>
      <c r="W54" t="s">
        <v>30</v>
      </c>
      <c r="X54" t="s">
        <v>40</v>
      </c>
      <c r="Y54" t="s">
        <v>145</v>
      </c>
      <c r="Z54" t="b">
        <v>0</v>
      </c>
      <c r="AA54" t="s">
        <v>44</v>
      </c>
      <c r="AB54" t="s">
        <v>45</v>
      </c>
      <c r="AC54" t="s">
        <v>46</v>
      </c>
    </row>
    <row r="55" spans="2:29" x14ac:dyDescent="0.35">
      <c r="B55" t="s">
        <v>146</v>
      </c>
      <c r="C55">
        <v>880.71</v>
      </c>
      <c r="D55" t="s">
        <v>39</v>
      </c>
      <c r="E55" s="10">
        <v>1371.2639678610242</v>
      </c>
      <c r="F55" t="s">
        <v>30</v>
      </c>
      <c r="G55" s="14">
        <v>46023</v>
      </c>
      <c r="H55">
        <v>15816</v>
      </c>
      <c r="I55">
        <v>13929309.360000001</v>
      </c>
      <c r="J55">
        <v>1263.9992413632201</v>
      </c>
      <c r="K55" t="s">
        <v>40</v>
      </c>
      <c r="L55" s="9" t="s">
        <v>41</v>
      </c>
      <c r="M55" t="s">
        <v>42</v>
      </c>
      <c r="N55" s="12">
        <v>1358.4810118640003</v>
      </c>
      <c r="O55" s="13">
        <v>0.99067797572413174</v>
      </c>
      <c r="P55" s="9" t="s">
        <v>146</v>
      </c>
      <c r="Q55">
        <v>8.2100000000000009</v>
      </c>
      <c r="R55">
        <v>8.2100000000000009</v>
      </c>
      <c r="S55" t="s">
        <v>39</v>
      </c>
      <c r="T55">
        <v>12.782955997024002</v>
      </c>
      <c r="U55">
        <v>112468.79000000001</v>
      </c>
      <c r="V55">
        <v>175113.71420323179</v>
      </c>
      <c r="W55" t="s">
        <v>30</v>
      </c>
      <c r="X55" t="s">
        <v>40</v>
      </c>
      <c r="Y55" t="s">
        <v>147</v>
      </c>
      <c r="Z55" t="b">
        <v>0</v>
      </c>
      <c r="AA55" t="s">
        <v>44</v>
      </c>
      <c r="AB55" t="s">
        <v>45</v>
      </c>
      <c r="AC55" t="s">
        <v>46</v>
      </c>
    </row>
    <row r="56" spans="2:29" x14ac:dyDescent="0.35">
      <c r="B56" t="s">
        <v>148</v>
      </c>
      <c r="C56">
        <v>607</v>
      </c>
      <c r="D56" t="s">
        <v>39</v>
      </c>
      <c r="E56" s="10">
        <v>945.09796470080005</v>
      </c>
      <c r="F56" t="s">
        <v>30</v>
      </c>
      <c r="G56" s="14">
        <v>46023</v>
      </c>
      <c r="H56">
        <v>5307</v>
      </c>
      <c r="I56">
        <v>3221349</v>
      </c>
      <c r="J56">
        <v>1737.9214962092799</v>
      </c>
      <c r="K56" t="s">
        <v>40</v>
      </c>
      <c r="L56" s="9" t="s">
        <v>41</v>
      </c>
      <c r="M56" t="s">
        <v>42</v>
      </c>
      <c r="N56" s="12">
        <v>339.61246797452804</v>
      </c>
      <c r="O56" s="13">
        <v>0.35934102141680396</v>
      </c>
      <c r="P56" s="9" t="s">
        <v>148</v>
      </c>
      <c r="Q56">
        <v>825.12</v>
      </c>
      <c r="R56">
        <v>825.12</v>
      </c>
      <c r="S56" t="s">
        <v>39</v>
      </c>
      <c r="T56">
        <v>1284.7104326753281</v>
      </c>
      <c r="U56">
        <v>2433278.88</v>
      </c>
      <c r="V56">
        <v>3788611.0659595425</v>
      </c>
      <c r="W56" t="s">
        <v>30</v>
      </c>
      <c r="X56" t="s">
        <v>40</v>
      </c>
      <c r="Y56" t="s">
        <v>149</v>
      </c>
      <c r="Z56" t="b">
        <v>0</v>
      </c>
      <c r="AA56" t="s">
        <v>44</v>
      </c>
      <c r="AB56" t="s">
        <v>45</v>
      </c>
      <c r="AC56" t="s">
        <v>46</v>
      </c>
    </row>
    <row r="57" spans="2:29" x14ac:dyDescent="0.35">
      <c r="B57" t="s">
        <v>148</v>
      </c>
      <c r="C57">
        <v>26.31</v>
      </c>
      <c r="D57" t="s">
        <v>39</v>
      </c>
      <c r="E57" s="10">
        <v>40.964625125664</v>
      </c>
      <c r="F57" t="s">
        <v>30</v>
      </c>
      <c r="G57" s="14">
        <v>46023</v>
      </c>
      <c r="H57">
        <v>4527</v>
      </c>
      <c r="I57">
        <v>119105.37</v>
      </c>
      <c r="J57">
        <v>347.584299241856</v>
      </c>
      <c r="K57" t="s">
        <v>40</v>
      </c>
      <c r="L57" s="9" t="s">
        <v>41</v>
      </c>
      <c r="M57" t="s">
        <v>42</v>
      </c>
      <c r="N57" s="12">
        <v>1200.118715340576</v>
      </c>
      <c r="O57" s="13">
        <v>29.296465222348917</v>
      </c>
      <c r="P57" s="9" t="s">
        <v>148</v>
      </c>
      <c r="Q57">
        <v>797.1</v>
      </c>
      <c r="R57">
        <v>797.1</v>
      </c>
      <c r="S57" t="s">
        <v>39</v>
      </c>
      <c r="T57">
        <v>1241.0833404662401</v>
      </c>
      <c r="U57">
        <v>14846784.6</v>
      </c>
      <c r="V57">
        <v>23116418.299524188</v>
      </c>
      <c r="W57" t="s">
        <v>30</v>
      </c>
      <c r="X57" t="s">
        <v>40</v>
      </c>
      <c r="Y57" t="s">
        <v>149</v>
      </c>
      <c r="Z57" t="b">
        <v>0</v>
      </c>
      <c r="AA57" t="s">
        <v>44</v>
      </c>
      <c r="AB57" t="s">
        <v>45</v>
      </c>
      <c r="AC57" t="s">
        <v>46</v>
      </c>
    </row>
    <row r="58" spans="2:29" x14ac:dyDescent="0.35">
      <c r="B58" t="s">
        <v>150</v>
      </c>
      <c r="C58">
        <v>397.74</v>
      </c>
      <c r="D58" t="s">
        <v>39</v>
      </c>
      <c r="E58" s="10">
        <v>619.28050161465603</v>
      </c>
      <c r="F58" t="s">
        <v>30</v>
      </c>
      <c r="G58" s="14">
        <v>46023</v>
      </c>
      <c r="H58">
        <v>12162</v>
      </c>
      <c r="I58">
        <v>4837313.88</v>
      </c>
      <c r="J58">
        <v>1116.8582315475401</v>
      </c>
      <c r="K58" t="s">
        <v>40</v>
      </c>
      <c r="L58" s="9" t="s">
        <v>41</v>
      </c>
      <c r="M58" t="s">
        <v>42</v>
      </c>
      <c r="N58" s="12">
        <v>401.78340986991998</v>
      </c>
      <c r="O58" s="13">
        <v>0.64879066727007584</v>
      </c>
      <c r="P58" s="9" t="s">
        <v>150</v>
      </c>
      <c r="Q58">
        <v>655.79</v>
      </c>
      <c r="R58">
        <v>655.79</v>
      </c>
      <c r="S58" t="s">
        <v>39</v>
      </c>
      <c r="T58">
        <v>1021.063911484576</v>
      </c>
      <c r="U58">
        <v>13039728.359999999</v>
      </c>
      <c r="V58">
        <v>20302834.815959308</v>
      </c>
      <c r="W58" t="s">
        <v>30</v>
      </c>
      <c r="X58" t="s">
        <v>40</v>
      </c>
      <c r="Y58" t="s">
        <v>151</v>
      </c>
      <c r="Z58" t="b">
        <v>0</v>
      </c>
      <c r="AA58" t="s">
        <v>44</v>
      </c>
      <c r="AB58" t="s">
        <v>45</v>
      </c>
      <c r="AC58" t="s">
        <v>46</v>
      </c>
    </row>
    <row r="59" spans="2:29" x14ac:dyDescent="0.35">
      <c r="B59" t="s">
        <v>150</v>
      </c>
      <c r="C59">
        <v>159.21</v>
      </c>
      <c r="D59" t="s">
        <v>39</v>
      </c>
      <c r="E59" s="10">
        <v>247.88969845142401</v>
      </c>
      <c r="F59" t="s">
        <v>30</v>
      </c>
      <c r="G59" s="14">
        <v>46023</v>
      </c>
      <c r="H59">
        <v>17382</v>
      </c>
      <c r="I59">
        <v>2767388.22</v>
      </c>
      <c r="J59">
        <v>21.891396019264</v>
      </c>
      <c r="K59" t="s">
        <v>40</v>
      </c>
      <c r="L59" s="9" t="s">
        <v>41</v>
      </c>
      <c r="M59" t="s">
        <v>42</v>
      </c>
      <c r="N59" s="12">
        <v>588.09382577782389</v>
      </c>
      <c r="O59" s="13">
        <v>2.3724012310784492</v>
      </c>
      <c r="P59" s="9" t="s">
        <v>150</v>
      </c>
      <c r="Q59">
        <v>536.91999999999996</v>
      </c>
      <c r="R59">
        <v>536.91999999999996</v>
      </c>
      <c r="S59" t="s">
        <v>39</v>
      </c>
      <c r="T59">
        <v>835.98352422924791</v>
      </c>
      <c r="U59">
        <v>4752278.92</v>
      </c>
      <c r="V59">
        <v>7399290.1729530729</v>
      </c>
      <c r="W59" t="s">
        <v>30</v>
      </c>
      <c r="X59" t="s">
        <v>40</v>
      </c>
      <c r="Y59" t="s">
        <v>151</v>
      </c>
      <c r="Z59" t="b">
        <v>0</v>
      </c>
      <c r="AA59" t="s">
        <v>44</v>
      </c>
      <c r="AB59" t="s">
        <v>45</v>
      </c>
      <c r="AC59" t="s">
        <v>46</v>
      </c>
    </row>
    <row r="60" spans="2:29" x14ac:dyDescent="0.35">
      <c r="B60" t="s">
        <v>150</v>
      </c>
      <c r="C60">
        <v>206.43</v>
      </c>
      <c r="D60" t="s">
        <v>39</v>
      </c>
      <c r="E60" s="10">
        <v>321.411157912992</v>
      </c>
      <c r="F60" t="s">
        <v>30</v>
      </c>
      <c r="G60" s="14">
        <v>46023</v>
      </c>
      <c r="H60">
        <v>5316</v>
      </c>
      <c r="I60">
        <v>1097381.8800000001</v>
      </c>
      <c r="J60">
        <v>1116.8582315475401</v>
      </c>
      <c r="K60" t="s">
        <v>40</v>
      </c>
      <c r="L60" s="9" t="s">
        <v>41</v>
      </c>
      <c r="M60" t="s">
        <v>42</v>
      </c>
      <c r="N60" s="12">
        <v>540.34068808857614</v>
      </c>
      <c r="O60" s="13">
        <v>1.6811509954948414</v>
      </c>
      <c r="P60" s="9" t="s">
        <v>150</v>
      </c>
      <c r="Q60">
        <v>553.47</v>
      </c>
      <c r="R60">
        <v>553.47</v>
      </c>
      <c r="S60" t="s">
        <v>39</v>
      </c>
      <c r="T60">
        <v>861.75184600156808</v>
      </c>
      <c r="U60">
        <v>9423380.2200000007</v>
      </c>
      <c r="V60">
        <v>14672186.930022698</v>
      </c>
      <c r="W60" t="s">
        <v>30</v>
      </c>
      <c r="X60" t="s">
        <v>40</v>
      </c>
      <c r="Y60" t="s">
        <v>151</v>
      </c>
      <c r="Z60" t="b">
        <v>0</v>
      </c>
      <c r="AA60" t="s">
        <v>44</v>
      </c>
      <c r="AB60" t="s">
        <v>45</v>
      </c>
      <c r="AC60" t="s">
        <v>46</v>
      </c>
    </row>
    <row r="61" spans="2:29" x14ac:dyDescent="0.35">
      <c r="B61" t="s">
        <v>150</v>
      </c>
      <c r="C61">
        <v>1.24</v>
      </c>
      <c r="D61" t="s">
        <v>39</v>
      </c>
      <c r="E61" s="10">
        <v>1.930677885056</v>
      </c>
      <c r="F61" t="s">
        <v>30</v>
      </c>
      <c r="G61" s="14">
        <v>46023</v>
      </c>
      <c r="H61">
        <v>17785</v>
      </c>
      <c r="I61">
        <v>22053.4</v>
      </c>
      <c r="J61">
        <v>21.891396019264</v>
      </c>
      <c r="K61" t="s">
        <v>40</v>
      </c>
      <c r="L61" s="9" t="s">
        <v>41</v>
      </c>
      <c r="M61" t="s">
        <v>42</v>
      </c>
      <c r="N61" s="12">
        <v>1109.1121650328962</v>
      </c>
      <c r="O61" s="13">
        <v>574.46774193548401</v>
      </c>
      <c r="P61" s="9" t="s">
        <v>150</v>
      </c>
      <c r="Q61">
        <v>713.58</v>
      </c>
      <c r="R61">
        <v>713.58</v>
      </c>
      <c r="S61" t="s">
        <v>39</v>
      </c>
      <c r="T61">
        <v>1111.0428429179522</v>
      </c>
      <c r="U61">
        <v>541607.22000000009</v>
      </c>
      <c r="V61">
        <v>843281.51777472568</v>
      </c>
      <c r="W61" t="s">
        <v>30</v>
      </c>
      <c r="X61" t="s">
        <v>40</v>
      </c>
      <c r="Y61" t="s">
        <v>151</v>
      </c>
      <c r="Z61" t="b">
        <v>0</v>
      </c>
      <c r="AA61" t="s">
        <v>44</v>
      </c>
      <c r="AB61" t="s">
        <v>45</v>
      </c>
      <c r="AC61" t="s">
        <v>46</v>
      </c>
    </row>
    <row r="62" spans="2:29" x14ac:dyDescent="0.35">
      <c r="B62" t="s">
        <v>150</v>
      </c>
      <c r="C62">
        <v>946.78</v>
      </c>
      <c r="D62" t="s">
        <v>39</v>
      </c>
      <c r="E62" s="10">
        <v>1474.1348451720321</v>
      </c>
      <c r="F62" t="s">
        <v>30</v>
      </c>
      <c r="G62" s="14">
        <v>46023</v>
      </c>
      <c r="H62">
        <v>19330</v>
      </c>
      <c r="I62">
        <v>18301257.399999999</v>
      </c>
      <c r="J62">
        <v>1029.2615075045901</v>
      </c>
      <c r="K62" t="s">
        <v>40</v>
      </c>
      <c r="L62" s="9" t="s">
        <v>41</v>
      </c>
      <c r="M62" t="s">
        <v>42</v>
      </c>
      <c r="N62" s="12">
        <v>1049.8995198968641</v>
      </c>
      <c r="O62" s="13">
        <v>0.71221403071463285</v>
      </c>
      <c r="P62" s="9" t="s">
        <v>150</v>
      </c>
      <c r="Q62">
        <v>272.47000000000003</v>
      </c>
      <c r="R62">
        <v>272.47000000000003</v>
      </c>
      <c r="S62" t="s">
        <v>39</v>
      </c>
      <c r="T62">
        <v>424.23532527516807</v>
      </c>
      <c r="U62">
        <v>490173.53</v>
      </c>
      <c r="V62">
        <v>763199.35017002735</v>
      </c>
      <c r="W62" t="s">
        <v>30</v>
      </c>
      <c r="X62" t="s">
        <v>40</v>
      </c>
      <c r="Y62" t="s">
        <v>151</v>
      </c>
      <c r="Z62" t="b">
        <v>0</v>
      </c>
      <c r="AA62" t="s">
        <v>44</v>
      </c>
      <c r="AB62" t="s">
        <v>45</v>
      </c>
      <c r="AC62" t="s">
        <v>46</v>
      </c>
    </row>
    <row r="63" spans="2:29" x14ac:dyDescent="0.35">
      <c r="B63" t="s">
        <v>150</v>
      </c>
      <c r="C63">
        <v>428.9</v>
      </c>
      <c r="D63" t="s">
        <v>39</v>
      </c>
      <c r="E63" s="10">
        <v>667.79656846815999</v>
      </c>
      <c r="F63" t="s">
        <v>30</v>
      </c>
      <c r="G63" s="14">
        <v>46023</v>
      </c>
      <c r="H63">
        <v>18589</v>
      </c>
      <c r="I63">
        <v>7972822.0999999996</v>
      </c>
      <c r="J63">
        <v>21.891396019264</v>
      </c>
      <c r="K63" t="s">
        <v>40</v>
      </c>
      <c r="L63" s="9" t="s">
        <v>41</v>
      </c>
      <c r="M63" t="s">
        <v>42</v>
      </c>
      <c r="N63" s="12">
        <v>481.87540213385603</v>
      </c>
      <c r="O63" s="13">
        <v>0.72159011424574493</v>
      </c>
      <c r="P63" s="9" t="s">
        <v>150</v>
      </c>
      <c r="Q63">
        <v>119.41</v>
      </c>
      <c r="R63">
        <v>119.41</v>
      </c>
      <c r="S63" t="s">
        <v>39</v>
      </c>
      <c r="T63">
        <v>185.92116633430399</v>
      </c>
      <c r="U63">
        <v>1226818.3399999999</v>
      </c>
      <c r="V63">
        <v>1910154.0629186393</v>
      </c>
      <c r="W63" t="s">
        <v>30</v>
      </c>
      <c r="X63" t="s">
        <v>40</v>
      </c>
      <c r="Y63" t="s">
        <v>151</v>
      </c>
      <c r="Z63" t="b">
        <v>0</v>
      </c>
      <c r="AA63" t="s">
        <v>44</v>
      </c>
      <c r="AB63" t="s">
        <v>45</v>
      </c>
      <c r="AC63" t="s">
        <v>46</v>
      </c>
    </row>
    <row r="64" spans="2:29" x14ac:dyDescent="0.35">
      <c r="B64" t="s">
        <v>152</v>
      </c>
      <c r="C64">
        <v>39.07</v>
      </c>
      <c r="D64" t="s">
        <v>39</v>
      </c>
      <c r="E64" s="10">
        <v>60.831923362208002</v>
      </c>
      <c r="F64" t="s">
        <v>30</v>
      </c>
      <c r="G64" s="14">
        <v>46023</v>
      </c>
      <c r="H64">
        <v>18671</v>
      </c>
      <c r="I64">
        <v>729475.97</v>
      </c>
      <c r="J64">
        <v>932.51741848204801</v>
      </c>
      <c r="K64" t="s">
        <v>40</v>
      </c>
      <c r="L64" s="9" t="s">
        <v>41</v>
      </c>
      <c r="M64" t="s">
        <v>42</v>
      </c>
      <c r="N64" s="12">
        <v>1471.7993477304319</v>
      </c>
      <c r="O64" s="13">
        <v>24.194522651650882</v>
      </c>
      <c r="P64" s="9" t="s">
        <v>152</v>
      </c>
      <c r="Q64">
        <v>984.35</v>
      </c>
      <c r="R64">
        <v>984.35</v>
      </c>
      <c r="S64" t="s">
        <v>39</v>
      </c>
      <c r="T64">
        <v>1532.63127109264</v>
      </c>
      <c r="U64">
        <v>11614345.65</v>
      </c>
      <c r="V64">
        <v>18083516.367622059</v>
      </c>
      <c r="W64" t="s">
        <v>30</v>
      </c>
      <c r="X64" t="s">
        <v>40</v>
      </c>
      <c r="Y64" t="s">
        <v>153</v>
      </c>
      <c r="Z64" t="b">
        <v>0</v>
      </c>
      <c r="AA64" t="s">
        <v>44</v>
      </c>
      <c r="AB64" t="s">
        <v>45</v>
      </c>
      <c r="AC64" t="s">
        <v>46</v>
      </c>
    </row>
    <row r="65" spans="2:29" x14ac:dyDescent="0.35">
      <c r="B65" t="s">
        <v>152</v>
      </c>
      <c r="C65">
        <v>520.11</v>
      </c>
      <c r="D65" t="s">
        <v>39</v>
      </c>
      <c r="E65" s="10">
        <v>809.81038290038407</v>
      </c>
      <c r="F65" t="s">
        <v>30</v>
      </c>
      <c r="G65" s="14">
        <v>46023</v>
      </c>
      <c r="H65">
        <v>17745</v>
      </c>
      <c r="I65">
        <v>9229351.9500000011</v>
      </c>
      <c r="J65">
        <v>932.51741848204801</v>
      </c>
      <c r="K65" t="s">
        <v>40</v>
      </c>
      <c r="L65" s="9" t="s">
        <v>41</v>
      </c>
      <c r="M65" t="s">
        <v>42</v>
      </c>
      <c r="N65" s="12">
        <v>486.34398723878405</v>
      </c>
      <c r="O65" s="13">
        <v>0.60056526504008767</v>
      </c>
      <c r="P65" s="9" t="s">
        <v>152</v>
      </c>
      <c r="Q65">
        <v>207.75</v>
      </c>
      <c r="R65">
        <v>207.75</v>
      </c>
      <c r="S65" t="s">
        <v>39</v>
      </c>
      <c r="T65">
        <v>323.46639566160002</v>
      </c>
      <c r="U65">
        <v>3409593</v>
      </c>
      <c r="V65">
        <v>5308730.4855981795</v>
      </c>
      <c r="W65" t="s">
        <v>30</v>
      </c>
      <c r="X65" t="s">
        <v>40</v>
      </c>
      <c r="Y65" t="s">
        <v>153</v>
      </c>
      <c r="Z65" t="b">
        <v>0</v>
      </c>
      <c r="AA65" t="s">
        <v>44</v>
      </c>
      <c r="AB65" t="s">
        <v>45</v>
      </c>
      <c r="AC65" t="s">
        <v>46</v>
      </c>
    </row>
    <row r="66" spans="2:29" x14ac:dyDescent="0.35">
      <c r="B66" t="s">
        <v>152</v>
      </c>
      <c r="C66">
        <v>24.51</v>
      </c>
      <c r="D66" t="s">
        <v>39</v>
      </c>
      <c r="E66" s="10">
        <v>38.162028195744</v>
      </c>
      <c r="F66" t="s">
        <v>30</v>
      </c>
      <c r="G66" s="14">
        <v>46023</v>
      </c>
      <c r="H66">
        <v>5810</v>
      </c>
      <c r="I66">
        <v>142403.1</v>
      </c>
      <c r="J66">
        <v>932.51741848204801</v>
      </c>
      <c r="K66" t="s">
        <v>40</v>
      </c>
      <c r="L66" s="9" t="s">
        <v>41</v>
      </c>
      <c r="M66" t="s">
        <v>42</v>
      </c>
      <c r="N66" s="12">
        <v>126.708521198272</v>
      </c>
      <c r="O66" s="13">
        <v>3.3202774377804976</v>
      </c>
      <c r="P66" s="9" t="s">
        <v>152</v>
      </c>
      <c r="Q66">
        <v>105.89</v>
      </c>
      <c r="R66">
        <v>105.89</v>
      </c>
      <c r="S66" t="s">
        <v>39</v>
      </c>
      <c r="T66">
        <v>164.870549394016</v>
      </c>
      <c r="U66">
        <v>1785199.51</v>
      </c>
      <c r="V66">
        <v>2779552.5922337156</v>
      </c>
      <c r="W66" t="s">
        <v>30</v>
      </c>
      <c r="X66" t="s">
        <v>40</v>
      </c>
      <c r="Y66" t="s">
        <v>153</v>
      </c>
      <c r="Z66" t="b">
        <v>0</v>
      </c>
      <c r="AA66" t="s">
        <v>44</v>
      </c>
      <c r="AB66" t="s">
        <v>45</v>
      </c>
      <c r="AC66" t="s">
        <v>46</v>
      </c>
    </row>
    <row r="67" spans="2:29" x14ac:dyDescent="0.35">
      <c r="B67" t="s">
        <v>154</v>
      </c>
      <c r="C67">
        <v>143.44</v>
      </c>
      <c r="D67" t="s">
        <v>39</v>
      </c>
      <c r="E67" s="10">
        <v>223.335835348736</v>
      </c>
      <c r="F67" t="s">
        <v>30</v>
      </c>
      <c r="G67" s="14">
        <v>46023</v>
      </c>
      <c r="H67">
        <v>9878</v>
      </c>
      <c r="I67">
        <v>1416900.32</v>
      </c>
      <c r="J67">
        <v>13981.745035821201</v>
      </c>
      <c r="K67" t="s">
        <v>40</v>
      </c>
      <c r="L67" s="9" t="s">
        <v>41</v>
      </c>
      <c r="M67" t="s">
        <v>42</v>
      </c>
      <c r="N67" s="12">
        <v>271.96089208284803</v>
      </c>
      <c r="O67" s="13">
        <v>1.2177216954824319</v>
      </c>
      <c r="P67" s="9" t="s">
        <v>154</v>
      </c>
      <c r="Q67">
        <v>318.11</v>
      </c>
      <c r="R67">
        <v>318.11</v>
      </c>
      <c r="S67" t="s">
        <v>39</v>
      </c>
      <c r="T67">
        <v>495.29672743158403</v>
      </c>
      <c r="U67">
        <v>4648541.4300000006</v>
      </c>
      <c r="V67">
        <v>7237771.0779577373</v>
      </c>
      <c r="W67" t="s">
        <v>30</v>
      </c>
      <c r="X67" t="s">
        <v>40</v>
      </c>
      <c r="Y67" t="s">
        <v>155</v>
      </c>
      <c r="Z67" t="b">
        <v>0</v>
      </c>
      <c r="AA67" t="s">
        <v>44</v>
      </c>
      <c r="AB67" t="s">
        <v>45</v>
      </c>
      <c r="AC67" t="s">
        <v>46</v>
      </c>
    </row>
    <row r="68" spans="2:29" x14ac:dyDescent="0.35">
      <c r="B68" t="s">
        <v>154</v>
      </c>
      <c r="C68">
        <v>315.89</v>
      </c>
      <c r="D68" t="s">
        <v>39</v>
      </c>
      <c r="E68" s="10">
        <v>491.840191218016</v>
      </c>
      <c r="F68" t="s">
        <v>30</v>
      </c>
      <c r="G68" s="14">
        <v>46023</v>
      </c>
      <c r="H68">
        <v>17739</v>
      </c>
      <c r="I68">
        <v>5603572.71</v>
      </c>
      <c r="J68">
        <v>9986.9607398722601</v>
      </c>
      <c r="K68" t="s">
        <v>40</v>
      </c>
      <c r="L68" s="9" t="s">
        <v>41</v>
      </c>
      <c r="M68" t="s">
        <v>42</v>
      </c>
      <c r="N68" s="12">
        <v>96.907573843456021</v>
      </c>
      <c r="O68" s="13">
        <v>0.19703061192187157</v>
      </c>
      <c r="P68" s="9" t="s">
        <v>154</v>
      </c>
      <c r="Q68">
        <v>378.13</v>
      </c>
      <c r="R68">
        <v>378.13</v>
      </c>
      <c r="S68" t="s">
        <v>39</v>
      </c>
      <c r="T68">
        <v>588.74776506147202</v>
      </c>
      <c r="U68">
        <v>7079727.9900000002</v>
      </c>
      <c r="V68">
        <v>11023124.405245941</v>
      </c>
      <c r="W68" t="s">
        <v>30</v>
      </c>
      <c r="X68" t="s">
        <v>40</v>
      </c>
      <c r="Y68" t="s">
        <v>155</v>
      </c>
      <c r="Z68" t="b">
        <v>0</v>
      </c>
      <c r="AA68" t="s">
        <v>44</v>
      </c>
      <c r="AB68" t="s">
        <v>45</v>
      </c>
      <c r="AC68" t="s">
        <v>46</v>
      </c>
    </row>
    <row r="69" spans="2:29" x14ac:dyDescent="0.35">
      <c r="B69" t="s">
        <v>154</v>
      </c>
      <c r="C69">
        <v>724.65</v>
      </c>
      <c r="D69" t="s">
        <v>39</v>
      </c>
      <c r="E69" s="10">
        <v>1128.2788140369601</v>
      </c>
      <c r="F69" t="s">
        <v>30</v>
      </c>
      <c r="G69" s="14">
        <v>46023</v>
      </c>
      <c r="H69">
        <v>10494</v>
      </c>
      <c r="I69">
        <v>7604477.0999999996</v>
      </c>
      <c r="J69">
        <v>14980.4411098084</v>
      </c>
      <c r="K69" t="s">
        <v>40</v>
      </c>
      <c r="L69" s="9" t="s">
        <v>41</v>
      </c>
      <c r="M69" t="s">
        <v>42</v>
      </c>
      <c r="N69" s="12">
        <v>627.67272242147214</v>
      </c>
      <c r="O69" s="13">
        <v>0.55630994273097367</v>
      </c>
      <c r="P69" s="9" t="s">
        <v>154</v>
      </c>
      <c r="Q69">
        <v>321.52</v>
      </c>
      <c r="R69">
        <v>321.52</v>
      </c>
      <c r="S69" t="s">
        <v>39</v>
      </c>
      <c r="T69">
        <v>500.60609161548797</v>
      </c>
      <c r="U69">
        <v>199342.4</v>
      </c>
      <c r="V69">
        <v>310375.77680160257</v>
      </c>
      <c r="W69" t="s">
        <v>30</v>
      </c>
      <c r="X69" t="s">
        <v>40</v>
      </c>
      <c r="Y69" t="s">
        <v>155</v>
      </c>
      <c r="Z69" t="b">
        <v>0</v>
      </c>
      <c r="AA69" t="s">
        <v>44</v>
      </c>
      <c r="AB69" t="s">
        <v>45</v>
      </c>
      <c r="AC69" t="s">
        <v>46</v>
      </c>
    </row>
    <row r="70" spans="2:29" x14ac:dyDescent="0.35">
      <c r="B70" t="s">
        <v>154</v>
      </c>
      <c r="C70">
        <v>581.70000000000005</v>
      </c>
      <c r="D70" t="s">
        <v>39</v>
      </c>
      <c r="E70" s="10">
        <v>905.7059078524801</v>
      </c>
      <c r="F70" t="s">
        <v>30</v>
      </c>
      <c r="G70" s="14">
        <v>46023</v>
      </c>
      <c r="H70">
        <v>5230</v>
      </c>
      <c r="I70">
        <v>3042291.0000000005</v>
      </c>
      <c r="J70">
        <v>11984.3528878467</v>
      </c>
      <c r="K70" t="s">
        <v>40</v>
      </c>
      <c r="L70" s="9" t="s">
        <v>41</v>
      </c>
      <c r="M70" t="s">
        <v>42</v>
      </c>
      <c r="N70" s="12">
        <v>640.76707807737603</v>
      </c>
      <c r="O70" s="13">
        <v>0.70747808148530167</v>
      </c>
      <c r="P70" s="9" t="s">
        <v>154</v>
      </c>
      <c r="Q70">
        <v>170.16</v>
      </c>
      <c r="R70">
        <v>170.16</v>
      </c>
      <c r="S70" t="s">
        <v>39</v>
      </c>
      <c r="T70">
        <v>264.93882977510401</v>
      </c>
      <c r="U70">
        <v>1528377.1199999999</v>
      </c>
      <c r="V70">
        <v>2379680.5690399841</v>
      </c>
      <c r="W70" t="s">
        <v>30</v>
      </c>
      <c r="X70" t="s">
        <v>40</v>
      </c>
      <c r="Y70" t="s">
        <v>155</v>
      </c>
      <c r="Z70" t="b">
        <v>0</v>
      </c>
      <c r="AA70" t="s">
        <v>44</v>
      </c>
      <c r="AB70" t="s">
        <v>45</v>
      </c>
      <c r="AC70" t="s">
        <v>46</v>
      </c>
    </row>
    <row r="71" spans="2:29" x14ac:dyDescent="0.35">
      <c r="B71" t="s">
        <v>156</v>
      </c>
      <c r="C71">
        <v>511.47</v>
      </c>
      <c r="D71" t="s">
        <v>39</v>
      </c>
      <c r="E71" s="10">
        <v>796.35791763676809</v>
      </c>
      <c r="F71" t="s">
        <v>30</v>
      </c>
      <c r="G71" s="14">
        <v>46023</v>
      </c>
      <c r="H71">
        <v>6018</v>
      </c>
      <c r="I71">
        <v>3078026.46</v>
      </c>
      <c r="J71">
        <v>7792.0041923179797</v>
      </c>
      <c r="K71" t="s">
        <v>40</v>
      </c>
      <c r="L71" s="9" t="s">
        <v>41</v>
      </c>
      <c r="M71" t="s">
        <v>42</v>
      </c>
      <c r="N71" s="12">
        <v>737.45667215961612</v>
      </c>
      <c r="O71" s="13">
        <v>0.92603671769605256</v>
      </c>
      <c r="P71" s="9" t="s">
        <v>156</v>
      </c>
      <c r="Q71">
        <v>37.83</v>
      </c>
      <c r="R71">
        <v>37.83</v>
      </c>
      <c r="S71" t="s">
        <v>39</v>
      </c>
      <c r="T71">
        <v>58.901245477151996</v>
      </c>
      <c r="U71">
        <v>180676.08</v>
      </c>
      <c r="V71">
        <v>281312.34839887795</v>
      </c>
      <c r="W71" t="s">
        <v>30</v>
      </c>
      <c r="X71" t="s">
        <v>40</v>
      </c>
      <c r="Y71" t="s">
        <v>157</v>
      </c>
      <c r="Z71" t="b">
        <v>0</v>
      </c>
      <c r="AA71" t="s">
        <v>44</v>
      </c>
      <c r="AB71" t="s">
        <v>45</v>
      </c>
      <c r="AC71" t="s">
        <v>158</v>
      </c>
    </row>
    <row r="72" spans="2:29" x14ac:dyDescent="0.35">
      <c r="B72" t="s">
        <v>156</v>
      </c>
      <c r="C72">
        <v>818.53</v>
      </c>
      <c r="D72" t="s">
        <v>39</v>
      </c>
      <c r="E72" s="10">
        <v>1274.449813915232</v>
      </c>
      <c r="F72" t="s">
        <v>30</v>
      </c>
      <c r="G72" s="14">
        <v>46023</v>
      </c>
      <c r="H72">
        <v>7367</v>
      </c>
      <c r="I72">
        <v>6030110.5099999998</v>
      </c>
      <c r="J72">
        <v>5194.5947256271902</v>
      </c>
      <c r="K72" t="s">
        <v>40</v>
      </c>
      <c r="L72" s="9" t="s">
        <v>41</v>
      </c>
      <c r="M72" t="s">
        <v>42</v>
      </c>
      <c r="N72" s="12">
        <v>32.432274472351992</v>
      </c>
      <c r="O72" s="13">
        <v>2.5448059325864653E-2</v>
      </c>
      <c r="P72" s="9" t="s">
        <v>156</v>
      </c>
      <c r="Q72">
        <v>839.36</v>
      </c>
      <c r="R72">
        <v>839.36</v>
      </c>
      <c r="S72" t="s">
        <v>39</v>
      </c>
      <c r="T72">
        <v>1306.882088387584</v>
      </c>
      <c r="U72">
        <v>6749293.7599999998</v>
      </c>
      <c r="V72">
        <v>10508638.872724563</v>
      </c>
      <c r="W72" t="s">
        <v>30</v>
      </c>
      <c r="X72" t="s">
        <v>40</v>
      </c>
      <c r="Y72" t="s">
        <v>157</v>
      </c>
      <c r="Z72" t="b">
        <v>0</v>
      </c>
      <c r="AA72" t="s">
        <v>44</v>
      </c>
      <c r="AB72" t="s">
        <v>45</v>
      </c>
      <c r="AC72" t="s">
        <v>158</v>
      </c>
    </row>
    <row r="73" spans="2:29" x14ac:dyDescent="0.35">
      <c r="B73" t="s">
        <v>159</v>
      </c>
      <c r="C73">
        <v>539.92999999999995</v>
      </c>
      <c r="D73" t="s">
        <v>39</v>
      </c>
      <c r="E73" s="10">
        <v>840.67008909539197</v>
      </c>
      <c r="F73" t="s">
        <v>30</v>
      </c>
      <c r="G73" s="14">
        <v>46023</v>
      </c>
      <c r="H73">
        <v>13024</v>
      </c>
      <c r="I73">
        <v>7032048.3199999994</v>
      </c>
      <c r="J73">
        <v>2095.6698803169802</v>
      </c>
      <c r="K73" t="s">
        <v>40</v>
      </c>
      <c r="L73" s="9" t="s">
        <v>41</v>
      </c>
      <c r="M73" t="s">
        <v>42</v>
      </c>
      <c r="N73" s="12">
        <v>198.89096212665606</v>
      </c>
      <c r="O73" s="13">
        <v>0.23658622414016639</v>
      </c>
      <c r="P73" s="9" t="s">
        <v>159</v>
      </c>
      <c r="Q73">
        <v>667.67</v>
      </c>
      <c r="R73">
        <v>667.67</v>
      </c>
      <c r="S73" t="s">
        <v>39</v>
      </c>
      <c r="T73">
        <v>1039.561051222048</v>
      </c>
      <c r="U73">
        <v>2124525.94</v>
      </c>
      <c r="V73">
        <v>3307883.264988557</v>
      </c>
      <c r="W73" t="s">
        <v>30</v>
      </c>
      <c r="X73" t="s">
        <v>40</v>
      </c>
      <c r="Y73" t="s">
        <v>160</v>
      </c>
      <c r="Z73" t="b">
        <v>0</v>
      </c>
      <c r="AA73" t="s">
        <v>44</v>
      </c>
      <c r="AB73" t="s">
        <v>45</v>
      </c>
      <c r="AC73" t="s">
        <v>158</v>
      </c>
    </row>
    <row r="74" spans="2:29" x14ac:dyDescent="0.35">
      <c r="B74" t="s">
        <v>159</v>
      </c>
      <c r="C74">
        <v>843.42</v>
      </c>
      <c r="D74" t="s">
        <v>39</v>
      </c>
      <c r="E74" s="10">
        <v>1313.203501462848</v>
      </c>
      <c r="F74" t="s">
        <v>30</v>
      </c>
      <c r="G74" s="14">
        <v>46023</v>
      </c>
      <c r="H74">
        <v>7903</v>
      </c>
      <c r="I74">
        <v>6665548.2599999998</v>
      </c>
      <c r="J74">
        <v>2095.6698803169802</v>
      </c>
      <c r="K74" t="s">
        <v>40</v>
      </c>
      <c r="L74" s="9" t="s">
        <v>41</v>
      </c>
      <c r="M74" t="s">
        <v>42</v>
      </c>
      <c r="N74" s="12">
        <v>313.08121703795189</v>
      </c>
      <c r="O74" s="13">
        <v>0.23841028194730968</v>
      </c>
      <c r="P74" s="9" t="s">
        <v>159</v>
      </c>
      <c r="Q74">
        <v>642.34</v>
      </c>
      <c r="R74">
        <v>642.34</v>
      </c>
      <c r="S74" t="s">
        <v>39</v>
      </c>
      <c r="T74">
        <v>1000.1222844248961</v>
      </c>
      <c r="U74">
        <v>11769595.82</v>
      </c>
      <c r="V74">
        <v>18325240.617517371</v>
      </c>
      <c r="W74" t="s">
        <v>30</v>
      </c>
      <c r="X74" t="s">
        <v>40</v>
      </c>
      <c r="Y74" t="s">
        <v>160</v>
      </c>
      <c r="Z74" t="b">
        <v>0</v>
      </c>
      <c r="AA74" t="s">
        <v>44</v>
      </c>
      <c r="AB74" t="s">
        <v>45</v>
      </c>
      <c r="AC74" t="s">
        <v>158</v>
      </c>
    </row>
    <row r="75" spans="2:29" x14ac:dyDescent="0.35">
      <c r="B75" t="s">
        <v>159</v>
      </c>
      <c r="C75">
        <v>382.17</v>
      </c>
      <c r="D75" t="s">
        <v>39</v>
      </c>
      <c r="E75" s="10">
        <v>595.03803817084804</v>
      </c>
      <c r="F75" t="s">
        <v>30</v>
      </c>
      <c r="G75" s="14">
        <v>46023</v>
      </c>
      <c r="H75">
        <v>12683</v>
      </c>
      <c r="I75">
        <v>4847062.1100000003</v>
      </c>
      <c r="J75">
        <v>1833.7111452773599</v>
      </c>
      <c r="K75" t="s">
        <v>40</v>
      </c>
      <c r="L75" s="9" t="s">
        <v>41</v>
      </c>
      <c r="M75" t="s">
        <v>42</v>
      </c>
      <c r="N75" s="12">
        <v>517.91991264921603</v>
      </c>
      <c r="O75" s="13">
        <v>0.87039799042311017</v>
      </c>
      <c r="P75" s="9" t="s">
        <v>159</v>
      </c>
      <c r="Q75">
        <v>49.53</v>
      </c>
      <c r="R75">
        <v>49.53</v>
      </c>
      <c r="S75" t="s">
        <v>39</v>
      </c>
      <c r="T75">
        <v>77.11812552163201</v>
      </c>
      <c r="U75">
        <v>622889.28</v>
      </c>
      <c r="V75">
        <v>969837.54656004417</v>
      </c>
      <c r="W75" t="s">
        <v>30</v>
      </c>
      <c r="X75" t="s">
        <v>40</v>
      </c>
      <c r="Y75" t="s">
        <v>160</v>
      </c>
      <c r="Z75" t="b">
        <v>0</v>
      </c>
      <c r="AA75" t="s">
        <v>44</v>
      </c>
      <c r="AB75" t="s">
        <v>45</v>
      </c>
      <c r="AC75" t="s">
        <v>158</v>
      </c>
    </row>
    <row r="76" spans="2:29" x14ac:dyDescent="0.35">
      <c r="B76" t="s">
        <v>161</v>
      </c>
      <c r="C76">
        <v>442.69</v>
      </c>
      <c r="D76" t="s">
        <v>39</v>
      </c>
      <c r="E76" s="10">
        <v>689.26757494793605</v>
      </c>
      <c r="F76" t="s">
        <v>30</v>
      </c>
      <c r="G76" s="14">
        <v>46023</v>
      </c>
      <c r="H76">
        <v>12925</v>
      </c>
      <c r="I76">
        <v>5721768.25</v>
      </c>
      <c r="J76">
        <v>6217.0941895391998</v>
      </c>
      <c r="K76" t="s">
        <v>40</v>
      </c>
      <c r="L76" s="9" t="s">
        <v>41</v>
      </c>
      <c r="M76" t="s">
        <v>42</v>
      </c>
      <c r="N76" s="12">
        <v>209.97678998278388</v>
      </c>
      <c r="O76" s="13">
        <v>0.30463755675529131</v>
      </c>
      <c r="P76" s="9" t="s">
        <v>161</v>
      </c>
      <c r="Q76">
        <v>577.54999999999995</v>
      </c>
      <c r="R76">
        <v>577.54999999999995</v>
      </c>
      <c r="S76" t="s">
        <v>39</v>
      </c>
      <c r="T76">
        <v>899.24436493071994</v>
      </c>
      <c r="U76">
        <v>9645085</v>
      </c>
      <c r="V76">
        <v>15017380.894343022</v>
      </c>
      <c r="W76" t="s">
        <v>30</v>
      </c>
      <c r="X76" t="s">
        <v>40</v>
      </c>
      <c r="Y76" t="s">
        <v>162</v>
      </c>
      <c r="Z76" t="b">
        <v>0</v>
      </c>
      <c r="AA76" t="s">
        <v>44</v>
      </c>
      <c r="AB76" t="s">
        <v>45</v>
      </c>
      <c r="AC76" t="s">
        <v>158</v>
      </c>
    </row>
    <row r="77" spans="2:29" x14ac:dyDescent="0.35">
      <c r="B77" t="s">
        <v>161</v>
      </c>
      <c r="C77">
        <v>283.77</v>
      </c>
      <c r="D77" t="s">
        <v>39</v>
      </c>
      <c r="E77" s="10">
        <v>441.829406001888</v>
      </c>
      <c r="F77" t="s">
        <v>30</v>
      </c>
      <c r="G77" s="14">
        <v>46023</v>
      </c>
      <c r="H77">
        <v>18044</v>
      </c>
      <c r="I77">
        <v>5120345.88</v>
      </c>
      <c r="J77">
        <v>6217.0941895391998</v>
      </c>
      <c r="K77" t="s">
        <v>40</v>
      </c>
      <c r="L77" s="9" t="s">
        <v>41</v>
      </c>
      <c r="M77" t="s">
        <v>42</v>
      </c>
      <c r="N77" s="12">
        <v>156.44718862131202</v>
      </c>
      <c r="O77" s="13">
        <v>0.35408957958910392</v>
      </c>
      <c r="P77" s="9" t="s">
        <v>161</v>
      </c>
      <c r="Q77">
        <v>183.29</v>
      </c>
      <c r="R77">
        <v>183.29</v>
      </c>
      <c r="S77" t="s">
        <v>39</v>
      </c>
      <c r="T77">
        <v>285.38221738057598</v>
      </c>
      <c r="U77">
        <v>2272246.13</v>
      </c>
      <c r="V77">
        <v>3537883.3488670005</v>
      </c>
      <c r="W77" t="s">
        <v>30</v>
      </c>
      <c r="X77" t="s">
        <v>40</v>
      </c>
      <c r="Y77" t="s">
        <v>162</v>
      </c>
      <c r="Z77" t="b">
        <v>0</v>
      </c>
      <c r="AA77" t="s">
        <v>44</v>
      </c>
      <c r="AB77" t="s">
        <v>45</v>
      </c>
      <c r="AC77" t="s">
        <v>158</v>
      </c>
    </row>
    <row r="78" spans="2:29" x14ac:dyDescent="0.35">
      <c r="B78" t="s">
        <v>163</v>
      </c>
      <c r="C78">
        <v>93.94</v>
      </c>
      <c r="D78" t="s">
        <v>39</v>
      </c>
      <c r="E78" s="10">
        <v>146.26441977593601</v>
      </c>
      <c r="F78" t="s">
        <v>30</v>
      </c>
      <c r="G78" s="14">
        <v>46023</v>
      </c>
      <c r="H78">
        <v>13533</v>
      </c>
      <c r="I78">
        <v>1271290.02</v>
      </c>
      <c r="J78">
        <v>1409.03363248658</v>
      </c>
      <c r="K78" t="s">
        <v>40</v>
      </c>
      <c r="L78" s="9" t="s">
        <v>41</v>
      </c>
      <c r="M78" t="s">
        <v>42</v>
      </c>
      <c r="N78" s="12">
        <v>802.53920086553603</v>
      </c>
      <c r="O78" s="13">
        <v>5.4869065360868641</v>
      </c>
      <c r="P78" s="9" t="s">
        <v>163</v>
      </c>
      <c r="Q78">
        <v>609.38</v>
      </c>
      <c r="R78">
        <v>609.38</v>
      </c>
      <c r="S78" t="s">
        <v>39</v>
      </c>
      <c r="T78">
        <v>948.80362064147198</v>
      </c>
      <c r="U78">
        <v>10282068.74</v>
      </c>
      <c r="V78">
        <v>16009163.491083557</v>
      </c>
      <c r="W78" t="s">
        <v>30</v>
      </c>
      <c r="X78" t="s">
        <v>40</v>
      </c>
      <c r="Y78" t="s">
        <v>164</v>
      </c>
      <c r="Z78" t="b">
        <v>0</v>
      </c>
      <c r="AA78" t="s">
        <v>44</v>
      </c>
      <c r="AB78" t="s">
        <v>45</v>
      </c>
      <c r="AC78" t="s">
        <v>158</v>
      </c>
    </row>
    <row r="79" spans="2:29" x14ac:dyDescent="0.35">
      <c r="B79" t="s">
        <v>163</v>
      </c>
      <c r="C79">
        <v>439.43</v>
      </c>
      <c r="D79" t="s">
        <v>39</v>
      </c>
      <c r="E79" s="10">
        <v>684.19176050819203</v>
      </c>
      <c r="F79" t="s">
        <v>30</v>
      </c>
      <c r="G79" s="14">
        <v>46023</v>
      </c>
      <c r="H79">
        <v>16457</v>
      </c>
      <c r="I79">
        <v>7231699.5099999998</v>
      </c>
      <c r="J79">
        <v>1409.03363248658</v>
      </c>
      <c r="K79" t="s">
        <v>40</v>
      </c>
      <c r="L79" s="9" t="s">
        <v>41</v>
      </c>
      <c r="M79" t="s">
        <v>42</v>
      </c>
      <c r="N79" s="12">
        <v>268.86246547699204</v>
      </c>
      <c r="O79" s="13">
        <v>0.39296361195184676</v>
      </c>
      <c r="P79" s="9" t="s">
        <v>163</v>
      </c>
      <c r="Q79">
        <v>612.11</v>
      </c>
      <c r="R79">
        <v>612.11</v>
      </c>
      <c r="S79" t="s">
        <v>39</v>
      </c>
      <c r="T79">
        <v>953.05422598518408</v>
      </c>
      <c r="U79">
        <v>5180286.93</v>
      </c>
      <c r="V79">
        <v>8065697.9145126129</v>
      </c>
      <c r="W79" t="s">
        <v>30</v>
      </c>
      <c r="X79" t="s">
        <v>40</v>
      </c>
      <c r="Y79" t="s">
        <v>164</v>
      </c>
      <c r="Z79" t="b">
        <v>0</v>
      </c>
      <c r="AA79" t="s">
        <v>44</v>
      </c>
      <c r="AB79" t="s">
        <v>45</v>
      </c>
      <c r="AC79" t="s">
        <v>158</v>
      </c>
    </row>
    <row r="80" spans="2:29" x14ac:dyDescent="0.35">
      <c r="B80" t="s">
        <v>163</v>
      </c>
      <c r="C80">
        <v>248.82</v>
      </c>
      <c r="D80" t="s">
        <v>39</v>
      </c>
      <c r="E80" s="10">
        <v>387.41231561260798</v>
      </c>
      <c r="F80" t="s">
        <v>30</v>
      </c>
      <c r="G80" s="14">
        <v>46023</v>
      </c>
      <c r="H80">
        <v>1487</v>
      </c>
      <c r="I80">
        <v>369995.33999999997</v>
      </c>
      <c r="J80">
        <v>1409.03363248658</v>
      </c>
      <c r="K80" t="s">
        <v>40</v>
      </c>
      <c r="L80" s="9" t="s">
        <v>41</v>
      </c>
      <c r="M80" t="s">
        <v>42</v>
      </c>
      <c r="N80" s="12">
        <v>74.175398745215944</v>
      </c>
      <c r="O80" s="13">
        <v>0.19146370870508789</v>
      </c>
      <c r="P80" s="9" t="s">
        <v>163</v>
      </c>
      <c r="Q80">
        <v>201.18</v>
      </c>
      <c r="R80">
        <v>201.18</v>
      </c>
      <c r="S80" t="s">
        <v>39</v>
      </c>
      <c r="T80">
        <v>313.23691686739204</v>
      </c>
      <c r="U80">
        <v>2588381.88</v>
      </c>
      <c r="V80">
        <v>4030106.1724158661</v>
      </c>
      <c r="W80" t="s">
        <v>30</v>
      </c>
      <c r="X80" t="s">
        <v>40</v>
      </c>
      <c r="Y80" t="s">
        <v>164</v>
      </c>
      <c r="Z80" t="b">
        <v>0</v>
      </c>
      <c r="AA80" t="s">
        <v>44</v>
      </c>
      <c r="AB80" t="s">
        <v>45</v>
      </c>
      <c r="AC80" t="s">
        <v>158</v>
      </c>
    </row>
    <row r="81" spans="2:29" x14ac:dyDescent="0.35">
      <c r="B81" t="s">
        <v>163</v>
      </c>
      <c r="C81">
        <v>245.29</v>
      </c>
      <c r="D81" t="s">
        <v>39</v>
      </c>
      <c r="E81" s="10">
        <v>381.91611163337598</v>
      </c>
      <c r="F81" t="s">
        <v>30</v>
      </c>
      <c r="G81" s="14">
        <v>46023</v>
      </c>
      <c r="H81">
        <v>18478</v>
      </c>
      <c r="I81">
        <v>4532468.62</v>
      </c>
      <c r="J81">
        <v>469.67787749552599</v>
      </c>
      <c r="K81" t="s">
        <v>40</v>
      </c>
      <c r="L81" s="9" t="s">
        <v>41</v>
      </c>
      <c r="M81" t="s">
        <v>42</v>
      </c>
      <c r="N81" s="12">
        <v>1023.18142916496</v>
      </c>
      <c r="O81" s="13">
        <v>2.6790737494394392</v>
      </c>
      <c r="P81" s="9" t="s">
        <v>163</v>
      </c>
      <c r="Q81">
        <v>902.44</v>
      </c>
      <c r="R81">
        <v>902.44</v>
      </c>
      <c r="S81" t="s">
        <v>39</v>
      </c>
      <c r="T81">
        <v>1405.097540798336</v>
      </c>
      <c r="U81">
        <v>8408935.9199999999</v>
      </c>
      <c r="V81">
        <v>13092698.885158895</v>
      </c>
      <c r="W81" t="s">
        <v>30</v>
      </c>
      <c r="X81" t="s">
        <v>40</v>
      </c>
      <c r="Y81" t="s">
        <v>164</v>
      </c>
      <c r="Z81" t="b">
        <v>0</v>
      </c>
      <c r="AA81" t="s">
        <v>44</v>
      </c>
      <c r="AB81" t="s">
        <v>45</v>
      </c>
      <c r="AC81" t="s">
        <v>158</v>
      </c>
    </row>
    <row r="82" spans="2:29" x14ac:dyDescent="0.35">
      <c r="B82" t="s">
        <v>163</v>
      </c>
      <c r="C82">
        <v>458.65</v>
      </c>
      <c r="D82" t="s">
        <v>39</v>
      </c>
      <c r="E82" s="10">
        <v>714.11726772655993</v>
      </c>
      <c r="F82" t="s">
        <v>30</v>
      </c>
      <c r="G82" s="14">
        <v>46023</v>
      </c>
      <c r="H82">
        <v>6937</v>
      </c>
      <c r="I82">
        <v>3181655.05</v>
      </c>
      <c r="J82">
        <v>939.355754991053</v>
      </c>
      <c r="K82" t="s">
        <v>40</v>
      </c>
      <c r="L82" s="9" t="s">
        <v>41</v>
      </c>
      <c r="M82" t="s">
        <v>42</v>
      </c>
      <c r="N82" s="12">
        <v>417.72707240457589</v>
      </c>
      <c r="O82" s="13">
        <v>0.58495584868636208</v>
      </c>
      <c r="P82" s="9" t="s">
        <v>163</v>
      </c>
      <c r="Q82">
        <v>190.36</v>
      </c>
      <c r="R82">
        <v>190.36</v>
      </c>
      <c r="S82" t="s">
        <v>39</v>
      </c>
      <c r="T82">
        <v>296.39019532198404</v>
      </c>
      <c r="U82">
        <v>3007116.9200000004</v>
      </c>
      <c r="V82">
        <v>4682075.9155013822</v>
      </c>
      <c r="W82" t="s">
        <v>30</v>
      </c>
      <c r="X82" t="s">
        <v>40</v>
      </c>
      <c r="Y82" t="s">
        <v>164</v>
      </c>
      <c r="Z82" t="b">
        <v>0</v>
      </c>
      <c r="AA82" t="s">
        <v>44</v>
      </c>
      <c r="AB82" t="s">
        <v>45</v>
      </c>
      <c r="AC82" t="s">
        <v>158</v>
      </c>
    </row>
    <row r="83" spans="2:29" x14ac:dyDescent="0.35">
      <c r="B83" t="s">
        <v>165</v>
      </c>
      <c r="C83">
        <v>541.66999999999996</v>
      </c>
      <c r="D83" t="s">
        <v>39</v>
      </c>
      <c r="E83" s="10">
        <v>843.37926612764795</v>
      </c>
      <c r="F83" t="s">
        <v>30</v>
      </c>
      <c r="G83" s="14">
        <v>46023</v>
      </c>
      <c r="H83">
        <v>4947</v>
      </c>
      <c r="I83">
        <v>2679641.4899999998</v>
      </c>
      <c r="J83">
        <v>569.71190391413802</v>
      </c>
      <c r="K83" t="s">
        <v>40</v>
      </c>
      <c r="L83" s="9" t="s">
        <v>41</v>
      </c>
      <c r="M83" t="s">
        <v>42</v>
      </c>
      <c r="N83" s="12">
        <v>462.98901282278393</v>
      </c>
      <c r="O83" s="13">
        <v>0.54896892942197273</v>
      </c>
      <c r="P83" s="9" t="s">
        <v>165</v>
      </c>
      <c r="Q83">
        <v>839.03</v>
      </c>
      <c r="R83">
        <v>839.03</v>
      </c>
      <c r="S83" t="s">
        <v>39</v>
      </c>
      <c r="T83">
        <v>1306.3682789504319</v>
      </c>
      <c r="U83">
        <v>13539427.109999999</v>
      </c>
      <c r="V83">
        <v>21080864.917423118</v>
      </c>
      <c r="W83" t="s">
        <v>30</v>
      </c>
      <c r="X83" t="s">
        <v>40</v>
      </c>
      <c r="Y83" t="s">
        <v>166</v>
      </c>
      <c r="Z83" t="b">
        <v>0</v>
      </c>
      <c r="AA83" t="s">
        <v>44</v>
      </c>
      <c r="AB83" t="s">
        <v>45</v>
      </c>
      <c r="AC83" t="s">
        <v>158</v>
      </c>
    </row>
    <row r="84" spans="2:29" x14ac:dyDescent="0.35">
      <c r="B84" t="s">
        <v>165</v>
      </c>
      <c r="C84">
        <v>814.79</v>
      </c>
      <c r="D84" t="s">
        <v>39</v>
      </c>
      <c r="E84" s="10">
        <v>1268.626640294176</v>
      </c>
      <c r="F84" t="s">
        <v>30</v>
      </c>
      <c r="G84" s="14">
        <v>46023</v>
      </c>
      <c r="H84">
        <v>3207</v>
      </c>
      <c r="I84">
        <v>2613031.5299999998</v>
      </c>
      <c r="J84">
        <v>1709.13571174241</v>
      </c>
      <c r="K84" t="s">
        <v>40</v>
      </c>
      <c r="L84" s="9" t="s">
        <v>41</v>
      </c>
      <c r="M84" t="s">
        <v>42</v>
      </c>
      <c r="N84" s="12">
        <v>27.87026946976016</v>
      </c>
      <c r="O84" s="13">
        <v>2.1968850869549333E-2</v>
      </c>
      <c r="P84" s="9" t="s">
        <v>165</v>
      </c>
      <c r="Q84">
        <v>832.69</v>
      </c>
      <c r="R84">
        <v>832.69</v>
      </c>
      <c r="S84" t="s">
        <v>39</v>
      </c>
      <c r="T84">
        <v>1296.4969097639362</v>
      </c>
      <c r="U84">
        <v>4428245.42</v>
      </c>
      <c r="V84">
        <v>6894770.5661246125</v>
      </c>
      <c r="W84" t="s">
        <v>30</v>
      </c>
      <c r="X84" t="s">
        <v>40</v>
      </c>
      <c r="Y84" t="s">
        <v>166</v>
      </c>
      <c r="Z84" t="b">
        <v>0</v>
      </c>
      <c r="AA84" t="s">
        <v>44</v>
      </c>
      <c r="AB84" t="s">
        <v>45</v>
      </c>
      <c r="AC84" t="s">
        <v>158</v>
      </c>
    </row>
    <row r="85" spans="2:29" x14ac:dyDescent="0.35">
      <c r="B85" t="s">
        <v>165</v>
      </c>
      <c r="C85">
        <v>328.96</v>
      </c>
      <c r="D85" t="s">
        <v>39</v>
      </c>
      <c r="E85" s="10">
        <v>512.19015892582399</v>
      </c>
      <c r="F85" t="s">
        <v>30</v>
      </c>
      <c r="G85" s="14">
        <v>46023</v>
      </c>
      <c r="H85">
        <v>9771</v>
      </c>
      <c r="I85">
        <v>3214268.1599999997</v>
      </c>
      <c r="J85">
        <v>569.71190391413802</v>
      </c>
      <c r="K85" t="s">
        <v>40</v>
      </c>
      <c r="L85" s="9" t="s">
        <v>41</v>
      </c>
      <c r="M85" t="s">
        <v>42</v>
      </c>
      <c r="N85" s="12">
        <v>90.087921313983998</v>
      </c>
      <c r="O85" s="13">
        <v>0.17588764591439687</v>
      </c>
      <c r="P85" s="9" t="s">
        <v>165</v>
      </c>
      <c r="Q85">
        <v>386.82</v>
      </c>
      <c r="R85">
        <v>386.82</v>
      </c>
      <c r="S85" t="s">
        <v>39</v>
      </c>
      <c r="T85">
        <v>602.27808023980799</v>
      </c>
      <c r="U85">
        <v>2872525.32</v>
      </c>
      <c r="V85">
        <v>4472517.023860814</v>
      </c>
      <c r="W85" t="s">
        <v>30</v>
      </c>
      <c r="X85" t="s">
        <v>40</v>
      </c>
      <c r="Y85" t="s">
        <v>166</v>
      </c>
      <c r="Z85" t="b">
        <v>0</v>
      </c>
      <c r="AA85" t="s">
        <v>44</v>
      </c>
      <c r="AB85" t="s">
        <v>45</v>
      </c>
      <c r="AC85" t="s">
        <v>158</v>
      </c>
    </row>
    <row r="86" spans="2:29" x14ac:dyDescent="0.35">
      <c r="B86" t="s">
        <v>165</v>
      </c>
      <c r="C86">
        <v>814.8</v>
      </c>
      <c r="D86" t="s">
        <v>39</v>
      </c>
      <c r="E86" s="10">
        <v>1268.6422102771201</v>
      </c>
      <c r="F86" t="s">
        <v>30</v>
      </c>
      <c r="G86" s="14">
        <v>46023</v>
      </c>
      <c r="H86">
        <v>2837</v>
      </c>
      <c r="I86">
        <v>2311587.6</v>
      </c>
      <c r="J86">
        <v>1709.13571174241</v>
      </c>
      <c r="K86" t="s">
        <v>40</v>
      </c>
      <c r="L86" s="9" t="s">
        <v>41</v>
      </c>
      <c r="M86" t="s">
        <v>42</v>
      </c>
      <c r="N86" s="12">
        <v>254.84948082739197</v>
      </c>
      <c r="O86" s="13">
        <v>0.20088365243004416</v>
      </c>
      <c r="P86" s="9" t="s">
        <v>165</v>
      </c>
      <c r="Q86">
        <v>978.48</v>
      </c>
      <c r="R86">
        <v>978.48</v>
      </c>
      <c r="S86" t="s">
        <v>39</v>
      </c>
      <c r="T86">
        <v>1523.491691104512</v>
      </c>
      <c r="U86">
        <v>15235912.08</v>
      </c>
      <c r="V86">
        <v>23722289.122188356</v>
      </c>
      <c r="W86" t="s">
        <v>30</v>
      </c>
      <c r="X86" t="s">
        <v>40</v>
      </c>
      <c r="Y86" t="s">
        <v>166</v>
      </c>
      <c r="Z86" t="b">
        <v>0</v>
      </c>
      <c r="AA86" t="s">
        <v>44</v>
      </c>
      <c r="AB86" t="s">
        <v>45</v>
      </c>
      <c r="AC86" t="s">
        <v>158</v>
      </c>
    </row>
    <row r="87" spans="2:29" x14ac:dyDescent="0.35">
      <c r="B87" t="s">
        <v>165</v>
      </c>
      <c r="C87">
        <v>48.33</v>
      </c>
      <c r="D87" t="s">
        <v>39</v>
      </c>
      <c r="E87" s="10">
        <v>75.249727568352</v>
      </c>
      <c r="F87" t="s">
        <v>30</v>
      </c>
      <c r="G87" s="14">
        <v>46023</v>
      </c>
      <c r="H87">
        <v>19203</v>
      </c>
      <c r="I87">
        <v>928080.99</v>
      </c>
      <c r="J87">
        <v>284.85595195706901</v>
      </c>
      <c r="K87" t="s">
        <v>40</v>
      </c>
      <c r="L87" s="9" t="s">
        <v>41</v>
      </c>
      <c r="M87" t="s">
        <v>42</v>
      </c>
      <c r="N87" s="12">
        <v>368.30794654032002</v>
      </c>
      <c r="O87" s="13">
        <v>4.8944754810676603</v>
      </c>
      <c r="P87" s="9" t="s">
        <v>165</v>
      </c>
      <c r="Q87">
        <v>284.88</v>
      </c>
      <c r="R87">
        <v>284.88</v>
      </c>
      <c r="S87" t="s">
        <v>39</v>
      </c>
      <c r="T87">
        <v>443.55767410867202</v>
      </c>
      <c r="U87">
        <v>2669895.36</v>
      </c>
      <c r="V87">
        <v>4157022.5217464743</v>
      </c>
      <c r="W87" t="s">
        <v>30</v>
      </c>
      <c r="X87" t="s">
        <v>40</v>
      </c>
      <c r="Y87" t="s">
        <v>166</v>
      </c>
      <c r="Z87" t="b">
        <v>0</v>
      </c>
      <c r="AA87" t="s">
        <v>44</v>
      </c>
      <c r="AB87" t="s">
        <v>45</v>
      </c>
      <c r="AC87" t="s">
        <v>158</v>
      </c>
    </row>
    <row r="88" spans="2:29" x14ac:dyDescent="0.35">
      <c r="B88" t="s">
        <v>165</v>
      </c>
      <c r="C88">
        <v>477.37</v>
      </c>
      <c r="D88" t="s">
        <v>39</v>
      </c>
      <c r="E88" s="10">
        <v>743.26427579772803</v>
      </c>
      <c r="F88" t="s">
        <v>30</v>
      </c>
      <c r="G88" s="14">
        <v>46023</v>
      </c>
      <c r="H88">
        <v>17009</v>
      </c>
      <c r="I88">
        <v>8119586.3300000001</v>
      </c>
      <c r="J88">
        <v>1709.13571174241</v>
      </c>
      <c r="K88" t="s">
        <v>40</v>
      </c>
      <c r="L88" s="9" t="s">
        <v>41</v>
      </c>
      <c r="M88" t="s">
        <v>42</v>
      </c>
      <c r="N88" s="12">
        <v>360.08699554588804</v>
      </c>
      <c r="O88" s="13">
        <v>0.48446697530217653</v>
      </c>
      <c r="P88" s="9" t="s">
        <v>165</v>
      </c>
      <c r="Q88">
        <v>246.1</v>
      </c>
      <c r="R88">
        <v>246.1</v>
      </c>
      <c r="S88" t="s">
        <v>39</v>
      </c>
      <c r="T88">
        <v>383.17728025183999</v>
      </c>
      <c r="U88">
        <v>1637795.5</v>
      </c>
      <c r="V88">
        <v>2550044.8000759953</v>
      </c>
      <c r="W88" t="s">
        <v>30</v>
      </c>
      <c r="X88" t="s">
        <v>40</v>
      </c>
      <c r="Y88" t="s">
        <v>166</v>
      </c>
      <c r="Z88" t="b">
        <v>0</v>
      </c>
      <c r="AA88" t="s">
        <v>44</v>
      </c>
      <c r="AB88" t="s">
        <v>45</v>
      </c>
      <c r="AC88" t="s">
        <v>158</v>
      </c>
    </row>
    <row r="89" spans="2:29" x14ac:dyDescent="0.35">
      <c r="B89" t="s">
        <v>167</v>
      </c>
      <c r="C89">
        <v>537.98</v>
      </c>
      <c r="D89" t="s">
        <v>39</v>
      </c>
      <c r="E89" s="10">
        <v>837.6339424213121</v>
      </c>
      <c r="F89" t="s">
        <v>30</v>
      </c>
      <c r="G89" s="14">
        <v>46023</v>
      </c>
      <c r="H89">
        <v>6470</v>
      </c>
      <c r="I89">
        <v>3480730.6</v>
      </c>
      <c r="J89">
        <v>2353.4340619514901</v>
      </c>
      <c r="K89" t="s">
        <v>40</v>
      </c>
      <c r="L89" s="9" t="s">
        <v>41</v>
      </c>
      <c r="M89" t="s">
        <v>42</v>
      </c>
      <c r="N89" s="12">
        <v>717.10670445180779</v>
      </c>
      <c r="O89" s="13">
        <v>0.8561098925610614</v>
      </c>
      <c r="P89" s="9" t="s">
        <v>167</v>
      </c>
      <c r="Q89">
        <v>998.55</v>
      </c>
      <c r="R89">
        <v>998.55</v>
      </c>
      <c r="S89" t="s">
        <v>39</v>
      </c>
      <c r="T89">
        <v>1554.7406468731199</v>
      </c>
      <c r="U89">
        <v>15745136.399999999</v>
      </c>
      <c r="V89">
        <v>24515150.519895356</v>
      </c>
      <c r="W89" t="s">
        <v>30</v>
      </c>
      <c r="X89" t="s">
        <v>40</v>
      </c>
      <c r="Y89" t="s">
        <v>168</v>
      </c>
      <c r="Z89" t="b">
        <v>0</v>
      </c>
      <c r="AA89" t="s">
        <v>44</v>
      </c>
      <c r="AB89" t="s">
        <v>45</v>
      </c>
      <c r="AC89" t="s">
        <v>158</v>
      </c>
    </row>
    <row r="90" spans="2:29" x14ac:dyDescent="0.35">
      <c r="B90" t="s">
        <v>167</v>
      </c>
      <c r="C90">
        <v>531.13</v>
      </c>
      <c r="D90" t="s">
        <v>39</v>
      </c>
      <c r="E90" s="10">
        <v>826.96850410467198</v>
      </c>
      <c r="F90" t="s">
        <v>30</v>
      </c>
      <c r="G90" s="14">
        <v>46023</v>
      </c>
      <c r="H90">
        <v>1634</v>
      </c>
      <c r="I90">
        <v>867866.42</v>
      </c>
      <c r="J90">
        <v>98.059752581311997</v>
      </c>
      <c r="K90" t="s">
        <v>40</v>
      </c>
      <c r="L90" s="9" t="s">
        <v>41</v>
      </c>
      <c r="M90" t="s">
        <v>42</v>
      </c>
      <c r="N90" s="12">
        <v>48.002257416352109</v>
      </c>
      <c r="O90" s="13">
        <v>5.8046052755446068E-2</v>
      </c>
      <c r="P90" s="9" t="s">
        <v>167</v>
      </c>
      <c r="Q90">
        <v>561.96</v>
      </c>
      <c r="R90">
        <v>561.96</v>
      </c>
      <c r="S90" t="s">
        <v>39</v>
      </c>
      <c r="T90">
        <v>874.97076152102409</v>
      </c>
      <c r="U90">
        <v>10417052.520000001</v>
      </c>
      <c r="V90">
        <v>16219333.006315224</v>
      </c>
      <c r="W90" t="s">
        <v>30</v>
      </c>
      <c r="X90" t="s">
        <v>40</v>
      </c>
      <c r="Y90" t="s">
        <v>168</v>
      </c>
      <c r="Z90" t="b">
        <v>0</v>
      </c>
      <c r="AA90" t="s">
        <v>44</v>
      </c>
      <c r="AB90" t="s">
        <v>45</v>
      </c>
      <c r="AC90" t="s">
        <v>158</v>
      </c>
    </row>
    <row r="91" spans="2:29" x14ac:dyDescent="0.35">
      <c r="B91" t="s">
        <v>167</v>
      </c>
      <c r="C91">
        <v>642.21</v>
      </c>
      <c r="D91" t="s">
        <v>39</v>
      </c>
      <c r="E91" s="10">
        <v>999.91987464662407</v>
      </c>
      <c r="F91" t="s">
        <v>30</v>
      </c>
      <c r="G91" s="14">
        <v>46023</v>
      </c>
      <c r="H91">
        <v>18910</v>
      </c>
      <c r="I91">
        <v>12144191.100000001</v>
      </c>
      <c r="J91">
        <v>2255.3743093701801</v>
      </c>
      <c r="K91" t="s">
        <v>40</v>
      </c>
      <c r="L91" s="9" t="s">
        <v>41</v>
      </c>
      <c r="M91" t="s">
        <v>42</v>
      </c>
      <c r="N91" s="12">
        <v>9.9180791353280711</v>
      </c>
      <c r="O91" s="13">
        <v>9.9188738886034876E-3</v>
      </c>
      <c r="P91" s="9" t="s">
        <v>167</v>
      </c>
      <c r="Q91">
        <v>648.58000000000004</v>
      </c>
      <c r="R91">
        <v>648.58000000000004</v>
      </c>
      <c r="S91" t="s">
        <v>39</v>
      </c>
      <c r="T91">
        <v>1009.8379537819521</v>
      </c>
      <c r="U91">
        <v>3392073.4000000004</v>
      </c>
      <c r="V91">
        <v>5281452.4982796097</v>
      </c>
      <c r="W91" t="s">
        <v>30</v>
      </c>
      <c r="X91" t="s">
        <v>40</v>
      </c>
      <c r="Y91" t="s">
        <v>168</v>
      </c>
      <c r="Z91" t="b">
        <v>0</v>
      </c>
      <c r="AA91" t="s">
        <v>44</v>
      </c>
      <c r="AB91" t="s">
        <v>45</v>
      </c>
      <c r="AC91" t="s">
        <v>158</v>
      </c>
    </row>
    <row r="92" spans="2:29" x14ac:dyDescent="0.35">
      <c r="B92" t="s">
        <v>167</v>
      </c>
      <c r="C92">
        <v>441.09</v>
      </c>
      <c r="D92" t="s">
        <v>39</v>
      </c>
      <c r="E92" s="10">
        <v>686.776377676896</v>
      </c>
      <c r="F92" t="s">
        <v>30</v>
      </c>
      <c r="G92" s="14">
        <v>46023</v>
      </c>
      <c r="H92">
        <v>192</v>
      </c>
      <c r="I92">
        <v>84689.279999999999</v>
      </c>
      <c r="J92">
        <v>196.11950516262399</v>
      </c>
      <c r="K92" t="s">
        <v>40</v>
      </c>
      <c r="L92" s="9" t="s">
        <v>41</v>
      </c>
      <c r="M92" t="s">
        <v>42</v>
      </c>
      <c r="N92" s="12">
        <v>677.13855823456004</v>
      </c>
      <c r="O92" s="13">
        <v>0.98596658278355898</v>
      </c>
      <c r="P92" s="9" t="s">
        <v>167</v>
      </c>
      <c r="Q92">
        <v>875.99</v>
      </c>
      <c r="R92">
        <v>875.99</v>
      </c>
      <c r="S92" t="s">
        <v>39</v>
      </c>
      <c r="T92">
        <v>1363.914935911456</v>
      </c>
      <c r="U92">
        <v>16674469.65</v>
      </c>
      <c r="V92">
        <v>25962120.805074565</v>
      </c>
      <c r="W92" t="s">
        <v>30</v>
      </c>
      <c r="X92" t="s">
        <v>40</v>
      </c>
      <c r="Y92" t="s">
        <v>168</v>
      </c>
      <c r="Z92" t="b">
        <v>0</v>
      </c>
      <c r="AA92" t="s">
        <v>44</v>
      </c>
      <c r="AB92" t="s">
        <v>45</v>
      </c>
      <c r="AC92" t="s">
        <v>158</v>
      </c>
    </row>
    <row r="93" spans="2:29" x14ac:dyDescent="0.35">
      <c r="B93" t="s">
        <v>167</v>
      </c>
      <c r="C93">
        <v>90.51</v>
      </c>
      <c r="D93" t="s">
        <v>39</v>
      </c>
      <c r="E93" s="10">
        <v>140.92391562614401</v>
      </c>
      <c r="F93" t="s">
        <v>30</v>
      </c>
      <c r="G93" s="14">
        <v>46023</v>
      </c>
      <c r="H93">
        <v>1395</v>
      </c>
      <c r="I93">
        <v>126261.45000000001</v>
      </c>
      <c r="J93">
        <v>2451.4938145328001</v>
      </c>
      <c r="K93" t="s">
        <v>40</v>
      </c>
      <c r="L93" s="9" t="s">
        <v>41</v>
      </c>
      <c r="M93" t="s">
        <v>42</v>
      </c>
      <c r="N93" s="12">
        <v>1202.843462355776</v>
      </c>
      <c r="O93" s="13">
        <v>8.5354104518837683</v>
      </c>
      <c r="P93" s="9" t="s">
        <v>167</v>
      </c>
      <c r="Q93">
        <v>863.05</v>
      </c>
      <c r="R93">
        <v>863.05</v>
      </c>
      <c r="S93" t="s">
        <v>39</v>
      </c>
      <c r="T93">
        <v>1343.7673779819199</v>
      </c>
      <c r="U93">
        <v>2807501.65</v>
      </c>
      <c r="V93">
        <v>4371275.280575186</v>
      </c>
      <c r="W93" t="s">
        <v>30</v>
      </c>
      <c r="X93" t="s">
        <v>40</v>
      </c>
      <c r="Y93" t="s">
        <v>168</v>
      </c>
      <c r="Z93" t="b">
        <v>0</v>
      </c>
      <c r="AA93" t="s">
        <v>44</v>
      </c>
      <c r="AB93" t="s">
        <v>45</v>
      </c>
      <c r="AC93" t="s">
        <v>158</v>
      </c>
    </row>
    <row r="94" spans="2:29" x14ac:dyDescent="0.35">
      <c r="B94" t="s">
        <v>167</v>
      </c>
      <c r="C94">
        <v>63.51</v>
      </c>
      <c r="D94" t="s">
        <v>39</v>
      </c>
      <c r="E94" s="10">
        <v>98.884961677343995</v>
      </c>
      <c r="F94" t="s">
        <v>30</v>
      </c>
      <c r="G94" s="14">
        <v>46023</v>
      </c>
      <c r="H94">
        <v>15670</v>
      </c>
      <c r="I94">
        <v>995201.7</v>
      </c>
      <c r="J94">
        <v>98.059752581311997</v>
      </c>
      <c r="K94" t="s">
        <v>40</v>
      </c>
      <c r="L94" s="9" t="s">
        <v>41</v>
      </c>
      <c r="M94" t="s">
        <v>42</v>
      </c>
      <c r="N94" s="12">
        <v>413.89685660035195</v>
      </c>
      <c r="O94" s="13">
        <v>4.1856400566839866</v>
      </c>
      <c r="P94" s="9" t="s">
        <v>167</v>
      </c>
      <c r="Q94">
        <v>329.34</v>
      </c>
      <c r="R94">
        <v>329.34</v>
      </c>
      <c r="S94" t="s">
        <v>39</v>
      </c>
      <c r="T94">
        <v>512.78181827769595</v>
      </c>
      <c r="U94">
        <v>811164.41999999993</v>
      </c>
      <c r="V94">
        <v>1262981.618417965</v>
      </c>
      <c r="W94" t="s">
        <v>30</v>
      </c>
      <c r="X94" t="s">
        <v>40</v>
      </c>
      <c r="Y94" t="s">
        <v>168</v>
      </c>
      <c r="Z94" t="b">
        <v>0</v>
      </c>
      <c r="AA94" t="s">
        <v>44</v>
      </c>
      <c r="AB94" t="s">
        <v>45</v>
      </c>
      <c r="AC94" t="s">
        <v>158</v>
      </c>
    </row>
    <row r="95" spans="2:29" x14ac:dyDescent="0.35">
      <c r="B95" t="s">
        <v>169</v>
      </c>
      <c r="C95">
        <v>829.67</v>
      </c>
      <c r="D95" t="s">
        <v>39</v>
      </c>
      <c r="E95" s="10">
        <v>1291.7947749148479</v>
      </c>
      <c r="F95" t="s">
        <v>30</v>
      </c>
      <c r="G95" s="14">
        <v>46023</v>
      </c>
      <c r="H95">
        <v>11131</v>
      </c>
      <c r="I95">
        <v>9235056.7699999996</v>
      </c>
      <c r="J95">
        <v>10328.9709852202</v>
      </c>
      <c r="K95" t="s">
        <v>40</v>
      </c>
      <c r="L95" s="9" t="s">
        <v>41</v>
      </c>
      <c r="M95" t="s">
        <v>42</v>
      </c>
      <c r="N95" s="12">
        <v>361.25474426668791</v>
      </c>
      <c r="O95" s="13">
        <v>0.27965335615365139</v>
      </c>
      <c r="P95" s="9" t="s">
        <v>169</v>
      </c>
      <c r="Q95">
        <v>597.65</v>
      </c>
      <c r="R95">
        <v>597.65</v>
      </c>
      <c r="S95" t="s">
        <v>39</v>
      </c>
      <c r="T95">
        <v>930.54003064816004</v>
      </c>
      <c r="U95">
        <v>11660749.15</v>
      </c>
      <c r="V95">
        <v>18155766.53797625</v>
      </c>
      <c r="W95" t="s">
        <v>30</v>
      </c>
      <c r="X95" t="s">
        <v>40</v>
      </c>
      <c r="Y95" t="s">
        <v>170</v>
      </c>
      <c r="Z95" t="b">
        <v>0</v>
      </c>
      <c r="AA95" t="s">
        <v>44</v>
      </c>
      <c r="AB95" t="s">
        <v>45</v>
      </c>
      <c r="AC95" t="s">
        <v>158</v>
      </c>
    </row>
    <row r="96" spans="2:29" x14ac:dyDescent="0.35">
      <c r="B96" t="s">
        <v>169</v>
      </c>
      <c r="C96">
        <v>704.63</v>
      </c>
      <c r="D96" t="s">
        <v>39</v>
      </c>
      <c r="E96" s="10">
        <v>1097.107708183072</v>
      </c>
      <c r="F96" t="s">
        <v>30</v>
      </c>
      <c r="G96" s="14">
        <v>46023</v>
      </c>
      <c r="H96">
        <v>18723</v>
      </c>
      <c r="I96">
        <v>13192787.49</v>
      </c>
      <c r="J96">
        <v>266.25791873012002</v>
      </c>
      <c r="K96" t="s">
        <v>40</v>
      </c>
      <c r="L96" s="9" t="s">
        <v>41</v>
      </c>
      <c r="M96" t="s">
        <v>42</v>
      </c>
      <c r="N96" s="12">
        <v>932.48627851615993</v>
      </c>
      <c r="O96" s="13">
        <v>0.84994961894895193</v>
      </c>
      <c r="P96" s="9" t="s">
        <v>169</v>
      </c>
      <c r="Q96">
        <v>105.73</v>
      </c>
      <c r="R96">
        <v>105.73</v>
      </c>
      <c r="S96" t="s">
        <v>39</v>
      </c>
      <c r="T96">
        <v>164.62142966691201</v>
      </c>
      <c r="U96">
        <v>109536.28</v>
      </c>
      <c r="V96">
        <v>170547.80113492085</v>
      </c>
      <c r="W96" t="s">
        <v>30</v>
      </c>
      <c r="X96" t="s">
        <v>40</v>
      </c>
      <c r="Y96" t="s">
        <v>170</v>
      </c>
      <c r="Z96" t="b">
        <v>0</v>
      </c>
      <c r="AA96" t="s">
        <v>44</v>
      </c>
      <c r="AB96" t="s">
        <v>45</v>
      </c>
      <c r="AC96" t="s">
        <v>158</v>
      </c>
    </row>
    <row r="97" spans="2:29" x14ac:dyDescent="0.35">
      <c r="B97" t="s">
        <v>169</v>
      </c>
      <c r="C97">
        <v>923.63</v>
      </c>
      <c r="D97" t="s">
        <v>39</v>
      </c>
      <c r="E97" s="10">
        <v>1438.090334656672</v>
      </c>
      <c r="F97" t="s">
        <v>30</v>
      </c>
      <c r="G97" s="14">
        <v>46023</v>
      </c>
      <c r="H97">
        <v>15462</v>
      </c>
      <c r="I97">
        <v>14281167.060000001</v>
      </c>
      <c r="J97">
        <v>5104.8069935843596</v>
      </c>
      <c r="K97" t="s">
        <v>40</v>
      </c>
      <c r="L97" s="9" t="s">
        <v>41</v>
      </c>
      <c r="M97" t="s">
        <v>42</v>
      </c>
      <c r="N97" s="12">
        <v>675.51928000838404</v>
      </c>
      <c r="O97" s="13">
        <v>0.46973355131383782</v>
      </c>
      <c r="P97" s="9" t="s">
        <v>169</v>
      </c>
      <c r="Q97">
        <v>489.77</v>
      </c>
      <c r="R97">
        <v>489.77</v>
      </c>
      <c r="S97" t="s">
        <v>39</v>
      </c>
      <c r="T97">
        <v>762.57105464828794</v>
      </c>
      <c r="U97">
        <v>5226825.4399999995</v>
      </c>
      <c r="V97">
        <v>8138158.2952065291</v>
      </c>
      <c r="W97" t="s">
        <v>30</v>
      </c>
      <c r="X97" t="s">
        <v>40</v>
      </c>
      <c r="Y97" t="s">
        <v>170</v>
      </c>
      <c r="Z97" t="b">
        <v>0</v>
      </c>
      <c r="AA97" t="s">
        <v>44</v>
      </c>
      <c r="AB97" t="s">
        <v>45</v>
      </c>
      <c r="AC97" t="s">
        <v>158</v>
      </c>
    </row>
    <row r="98" spans="2:29" x14ac:dyDescent="0.35">
      <c r="B98" t="s">
        <v>169</v>
      </c>
      <c r="C98">
        <v>732.32</v>
      </c>
      <c r="D98" t="s">
        <v>39</v>
      </c>
      <c r="E98" s="10">
        <v>1140.2209909550081</v>
      </c>
      <c r="F98" t="s">
        <v>30</v>
      </c>
      <c r="G98" s="14">
        <v>46023</v>
      </c>
      <c r="H98">
        <v>18261</v>
      </c>
      <c r="I98">
        <v>13372895.520000001</v>
      </c>
      <c r="J98">
        <v>10503.4158285261</v>
      </c>
      <c r="K98" t="s">
        <v>40</v>
      </c>
      <c r="L98" s="9" t="s">
        <v>41</v>
      </c>
      <c r="M98" t="s">
        <v>42</v>
      </c>
      <c r="N98" s="12">
        <v>736.83387284185619</v>
      </c>
      <c r="O98" s="13">
        <v>0.64622023159274644</v>
      </c>
      <c r="P98" s="9" t="s">
        <v>169</v>
      </c>
      <c r="Q98">
        <v>259.08</v>
      </c>
      <c r="R98">
        <v>259.08</v>
      </c>
      <c r="S98" t="s">
        <v>39</v>
      </c>
      <c r="T98">
        <v>403.38711811315198</v>
      </c>
      <c r="U98">
        <v>4386742.5599999996</v>
      </c>
      <c r="V98">
        <v>6830150.6838918896</v>
      </c>
      <c r="W98" t="s">
        <v>30</v>
      </c>
      <c r="X98" t="s">
        <v>40</v>
      </c>
      <c r="Y98" t="s">
        <v>170</v>
      </c>
      <c r="Z98" t="b">
        <v>0</v>
      </c>
      <c r="AA98" t="s">
        <v>44</v>
      </c>
      <c r="AB98" t="s">
        <v>45</v>
      </c>
      <c r="AC98" t="s">
        <v>158</v>
      </c>
    </row>
    <row r="99" spans="2:29" x14ac:dyDescent="0.35">
      <c r="B99" t="s">
        <v>169</v>
      </c>
      <c r="C99">
        <v>281.7</v>
      </c>
      <c r="D99" t="s">
        <v>39</v>
      </c>
      <c r="E99" s="10">
        <v>438.60641953248</v>
      </c>
      <c r="F99" t="s">
        <v>30</v>
      </c>
      <c r="G99" s="14">
        <v>46023</v>
      </c>
      <c r="H99">
        <v>8149</v>
      </c>
      <c r="I99">
        <v>2295573.2999999998</v>
      </c>
      <c r="J99">
        <v>3957.1435507821202</v>
      </c>
      <c r="K99" t="s">
        <v>40</v>
      </c>
      <c r="L99" s="9" t="s">
        <v>41</v>
      </c>
      <c r="M99" t="s">
        <v>42</v>
      </c>
      <c r="N99" s="12">
        <v>285.833746885952</v>
      </c>
      <c r="O99" s="13">
        <v>0.65168619098331559</v>
      </c>
      <c r="P99" s="9" t="s">
        <v>169</v>
      </c>
      <c r="Q99">
        <v>465.28</v>
      </c>
      <c r="R99">
        <v>465.28</v>
      </c>
      <c r="S99" t="s">
        <v>39</v>
      </c>
      <c r="T99">
        <v>724.440166418432</v>
      </c>
      <c r="U99">
        <v>134465.91999999998</v>
      </c>
      <c r="V99">
        <v>209363.20809492684</v>
      </c>
      <c r="W99" t="s">
        <v>30</v>
      </c>
      <c r="X99" t="s">
        <v>40</v>
      </c>
      <c r="Y99" t="s">
        <v>170</v>
      </c>
      <c r="Z99" t="b">
        <v>0</v>
      </c>
      <c r="AA99" t="s">
        <v>44</v>
      </c>
      <c r="AB99" t="s">
        <v>45</v>
      </c>
      <c r="AC99" t="s">
        <v>158</v>
      </c>
    </row>
    <row r="100" spans="2:29" x14ac:dyDescent="0.35">
      <c r="B100" t="s">
        <v>169</v>
      </c>
      <c r="C100">
        <v>680.12</v>
      </c>
      <c r="D100" t="s">
        <v>39</v>
      </c>
      <c r="E100" s="10">
        <v>1058.945679987328</v>
      </c>
      <c r="F100" t="s">
        <v>30</v>
      </c>
      <c r="G100" s="14">
        <v>46023</v>
      </c>
      <c r="H100">
        <v>518</v>
      </c>
      <c r="I100">
        <v>352302.16</v>
      </c>
      <c r="J100">
        <v>16526.3535763523</v>
      </c>
      <c r="K100" t="s">
        <v>40</v>
      </c>
      <c r="L100" s="9" t="s">
        <v>41</v>
      </c>
      <c r="M100" t="s">
        <v>42</v>
      </c>
      <c r="N100" s="12">
        <v>674.25811138992003</v>
      </c>
      <c r="O100" s="13">
        <v>0.636725871904958</v>
      </c>
      <c r="P100" s="9" t="s">
        <v>169</v>
      </c>
      <c r="Q100">
        <v>247.07</v>
      </c>
      <c r="R100">
        <v>247.07</v>
      </c>
      <c r="S100" t="s">
        <v>39</v>
      </c>
      <c r="T100">
        <v>384.68756859740802</v>
      </c>
      <c r="U100">
        <v>2956933.76</v>
      </c>
      <c r="V100">
        <v>4603940.8209737791</v>
      </c>
      <c r="W100" t="s">
        <v>30</v>
      </c>
      <c r="X100" t="s">
        <v>40</v>
      </c>
      <c r="Y100" t="s">
        <v>170</v>
      </c>
      <c r="Z100" t="b">
        <v>0</v>
      </c>
      <c r="AA100" t="s">
        <v>44</v>
      </c>
      <c r="AB100" t="s">
        <v>45</v>
      </c>
      <c r="AC100" t="s">
        <v>158</v>
      </c>
    </row>
    <row r="101" spans="2:29" x14ac:dyDescent="0.35">
      <c r="B101" t="s">
        <v>171</v>
      </c>
      <c r="C101">
        <v>891.34</v>
      </c>
      <c r="D101" t="s">
        <v>39</v>
      </c>
      <c r="E101" s="10">
        <v>1387.814859730496</v>
      </c>
      <c r="F101" t="s">
        <v>30</v>
      </c>
      <c r="G101" s="14">
        <v>46023</v>
      </c>
      <c r="H101">
        <v>16442</v>
      </c>
      <c r="I101">
        <v>14655412.280000001</v>
      </c>
      <c r="J101">
        <v>16496.5993389463</v>
      </c>
      <c r="K101" t="s">
        <v>40</v>
      </c>
      <c r="L101" s="9" t="s">
        <v>41</v>
      </c>
      <c r="M101" t="s">
        <v>42</v>
      </c>
      <c r="N101" s="12">
        <v>522.21722794175992</v>
      </c>
      <c r="O101" s="13">
        <v>0.37628738752888902</v>
      </c>
      <c r="P101" s="9" t="s">
        <v>171</v>
      </c>
      <c r="Q101">
        <v>555.94000000000005</v>
      </c>
      <c r="R101">
        <v>555.94000000000005</v>
      </c>
      <c r="S101" t="s">
        <v>39</v>
      </c>
      <c r="T101">
        <v>865.59763178873607</v>
      </c>
      <c r="U101">
        <v>2273238.66</v>
      </c>
      <c r="V101">
        <v>3539428.7163841417</v>
      </c>
      <c r="W101" t="s">
        <v>30</v>
      </c>
      <c r="X101" t="s">
        <v>40</v>
      </c>
      <c r="Y101" t="s">
        <v>172</v>
      </c>
      <c r="Z101" t="b">
        <v>0</v>
      </c>
      <c r="AA101" t="s">
        <v>44</v>
      </c>
      <c r="AB101" t="s">
        <v>45</v>
      </c>
      <c r="AC101" t="s">
        <v>158</v>
      </c>
    </row>
    <row r="102" spans="2:29" x14ac:dyDescent="0.35">
      <c r="B102" t="s">
        <v>171</v>
      </c>
      <c r="C102">
        <v>816.51</v>
      </c>
      <c r="D102" t="s">
        <v>39</v>
      </c>
      <c r="E102" s="10">
        <v>1271.304677360544</v>
      </c>
      <c r="F102" t="s">
        <v>30</v>
      </c>
      <c r="G102" s="14">
        <v>46023</v>
      </c>
      <c r="H102">
        <v>18990</v>
      </c>
      <c r="I102">
        <v>15505524.9</v>
      </c>
      <c r="J102">
        <v>4948.9798016838804</v>
      </c>
      <c r="K102" t="s">
        <v>40</v>
      </c>
      <c r="L102" s="9" t="s">
        <v>41</v>
      </c>
      <c r="M102" t="s">
        <v>42</v>
      </c>
      <c r="N102" s="12">
        <v>48.905316427104026</v>
      </c>
      <c r="O102" s="13">
        <v>3.8468604181210293E-2</v>
      </c>
      <c r="P102" s="9" t="s">
        <v>171</v>
      </c>
      <c r="Q102">
        <v>847.92</v>
      </c>
      <c r="R102">
        <v>847.92</v>
      </c>
      <c r="S102" t="s">
        <v>39</v>
      </c>
      <c r="T102">
        <v>1320.209993787648</v>
      </c>
      <c r="U102">
        <v>14814858.239999998</v>
      </c>
      <c r="V102">
        <v>23066709.011457786</v>
      </c>
      <c r="W102" t="s">
        <v>30</v>
      </c>
      <c r="X102" t="s">
        <v>40</v>
      </c>
      <c r="Y102" t="s">
        <v>172</v>
      </c>
      <c r="Z102" t="b">
        <v>0</v>
      </c>
      <c r="AA102" t="s">
        <v>44</v>
      </c>
      <c r="AB102" t="s">
        <v>45</v>
      </c>
      <c r="AC102" t="s">
        <v>158</v>
      </c>
    </row>
    <row r="103" spans="2:29" x14ac:dyDescent="0.35">
      <c r="B103" t="s">
        <v>171</v>
      </c>
      <c r="C103">
        <v>446.23</v>
      </c>
      <c r="D103" t="s">
        <v>39</v>
      </c>
      <c r="E103" s="10">
        <v>694.77934891011205</v>
      </c>
      <c r="F103" t="s">
        <v>30</v>
      </c>
      <c r="G103" s="14">
        <v>46023</v>
      </c>
      <c r="H103">
        <v>5173</v>
      </c>
      <c r="I103">
        <v>2308347.79</v>
      </c>
      <c r="J103">
        <v>16496.5993389463</v>
      </c>
      <c r="K103" t="s">
        <v>40</v>
      </c>
      <c r="L103" s="9" t="s">
        <v>41</v>
      </c>
      <c r="M103" t="s">
        <v>42</v>
      </c>
      <c r="N103" s="12">
        <v>316.07065376319997</v>
      </c>
      <c r="O103" s="13">
        <v>0.45492234946104021</v>
      </c>
      <c r="P103" s="9" t="s">
        <v>171</v>
      </c>
      <c r="Q103">
        <v>649.23</v>
      </c>
      <c r="R103">
        <v>649.23</v>
      </c>
      <c r="S103" t="s">
        <v>39</v>
      </c>
      <c r="T103">
        <v>1010.850002673312</v>
      </c>
      <c r="U103">
        <v>6651361.3500000006</v>
      </c>
      <c r="V103">
        <v>10356158.277388081</v>
      </c>
      <c r="W103" t="s">
        <v>30</v>
      </c>
      <c r="X103" t="s">
        <v>40</v>
      </c>
      <c r="Y103" t="s">
        <v>172</v>
      </c>
      <c r="Z103" t="b">
        <v>0</v>
      </c>
      <c r="AA103" t="s">
        <v>44</v>
      </c>
      <c r="AB103" t="s">
        <v>45</v>
      </c>
      <c r="AC103" t="s">
        <v>158</v>
      </c>
    </row>
    <row r="104" spans="2:29" x14ac:dyDescent="0.35">
      <c r="B104" t="s">
        <v>171</v>
      </c>
      <c r="C104">
        <v>497.35</v>
      </c>
      <c r="D104" t="s">
        <v>39</v>
      </c>
      <c r="E104" s="10">
        <v>774.37310171984007</v>
      </c>
      <c r="F104" t="s">
        <v>30</v>
      </c>
      <c r="G104" s="14">
        <v>46023</v>
      </c>
      <c r="H104">
        <v>7058</v>
      </c>
      <c r="I104">
        <v>3510296.3000000003</v>
      </c>
      <c r="J104">
        <v>126.896917991894</v>
      </c>
      <c r="K104" t="s">
        <v>40</v>
      </c>
      <c r="L104" s="9" t="s">
        <v>41</v>
      </c>
      <c r="M104" t="s">
        <v>42</v>
      </c>
      <c r="N104" s="12">
        <v>627.53259257497587</v>
      </c>
      <c r="O104" s="13">
        <v>0.81037498743339675</v>
      </c>
      <c r="P104" s="9" t="s">
        <v>171</v>
      </c>
      <c r="Q104">
        <v>900.39</v>
      </c>
      <c r="R104">
        <v>900.39</v>
      </c>
      <c r="S104" t="s">
        <v>39</v>
      </c>
      <c r="T104">
        <v>1401.9056942948159</v>
      </c>
      <c r="U104">
        <v>13004332.77</v>
      </c>
      <c r="V104">
        <v>20247723.942700025</v>
      </c>
      <c r="W104" t="s">
        <v>30</v>
      </c>
      <c r="X104" t="s">
        <v>40</v>
      </c>
      <c r="Y104" t="s">
        <v>172</v>
      </c>
      <c r="Z104" t="b">
        <v>0</v>
      </c>
      <c r="AA104" t="s">
        <v>44</v>
      </c>
      <c r="AB104" t="s">
        <v>45</v>
      </c>
      <c r="AC104" t="s">
        <v>158</v>
      </c>
    </row>
    <row r="105" spans="2:29" x14ac:dyDescent="0.35">
      <c r="B105" t="s">
        <v>171</v>
      </c>
      <c r="C105">
        <v>284.60000000000002</v>
      </c>
      <c r="D105" t="s">
        <v>39</v>
      </c>
      <c r="E105" s="10">
        <v>443.12171458624005</v>
      </c>
      <c r="F105" t="s">
        <v>30</v>
      </c>
      <c r="G105" s="14">
        <v>46023</v>
      </c>
      <c r="H105">
        <v>13514</v>
      </c>
      <c r="I105">
        <v>3846084.4000000004</v>
      </c>
      <c r="J105">
        <v>12127.719733796799</v>
      </c>
      <c r="K105" t="s">
        <v>40</v>
      </c>
      <c r="L105" s="9" t="s">
        <v>41</v>
      </c>
      <c r="M105" t="s">
        <v>42</v>
      </c>
      <c r="N105" s="12">
        <v>108.86532074444801</v>
      </c>
      <c r="O105" s="13">
        <v>0.24567814476458188</v>
      </c>
      <c r="P105" s="9" t="s">
        <v>171</v>
      </c>
      <c r="Q105">
        <v>214.68</v>
      </c>
      <c r="R105">
        <v>214.68</v>
      </c>
      <c r="S105" t="s">
        <v>39</v>
      </c>
      <c r="T105">
        <v>334.25639384179203</v>
      </c>
      <c r="U105">
        <v>1148323.32</v>
      </c>
      <c r="V105">
        <v>1787937.4506597456</v>
      </c>
      <c r="W105" t="s">
        <v>30</v>
      </c>
      <c r="X105" t="s">
        <v>40</v>
      </c>
      <c r="Y105" t="s">
        <v>172</v>
      </c>
      <c r="Z105" t="b">
        <v>0</v>
      </c>
      <c r="AA105" t="s">
        <v>44</v>
      </c>
      <c r="AB105" t="s">
        <v>45</v>
      </c>
      <c r="AC105" t="s">
        <v>158</v>
      </c>
    </row>
    <row r="106" spans="2:29" x14ac:dyDescent="0.35">
      <c r="B106" t="s">
        <v>173</v>
      </c>
      <c r="C106">
        <v>798.25</v>
      </c>
      <c r="D106" t="s">
        <v>39</v>
      </c>
      <c r="E106" s="10">
        <v>1242.8738885048001</v>
      </c>
      <c r="F106" t="s">
        <v>30</v>
      </c>
      <c r="G106" s="14">
        <v>46023</v>
      </c>
      <c r="H106">
        <v>15535</v>
      </c>
      <c r="I106">
        <v>12400813.75</v>
      </c>
      <c r="J106">
        <v>1746.48498682848</v>
      </c>
      <c r="K106" t="s">
        <v>40</v>
      </c>
      <c r="L106" s="9" t="s">
        <v>41</v>
      </c>
      <c r="M106" t="s">
        <v>42</v>
      </c>
      <c r="N106" s="12">
        <v>106.52982330284794</v>
      </c>
      <c r="O106" s="13">
        <v>8.5712496085186288E-2</v>
      </c>
      <c r="P106" s="9" t="s">
        <v>173</v>
      </c>
      <c r="Q106">
        <v>729.83</v>
      </c>
      <c r="R106">
        <v>729.83</v>
      </c>
      <c r="S106" t="s">
        <v>39</v>
      </c>
      <c r="T106">
        <v>1136.3440652019522</v>
      </c>
      <c r="U106">
        <v>2626658.17</v>
      </c>
      <c r="V106">
        <v>4089702.2906618258</v>
      </c>
      <c r="W106" t="s">
        <v>30</v>
      </c>
      <c r="X106" t="s">
        <v>40</v>
      </c>
      <c r="Y106" t="s">
        <v>174</v>
      </c>
      <c r="Z106" t="b">
        <v>0</v>
      </c>
      <c r="AA106" t="s">
        <v>44</v>
      </c>
      <c r="AB106" t="s">
        <v>45</v>
      </c>
      <c r="AC106" t="s">
        <v>175</v>
      </c>
    </row>
    <row r="107" spans="2:29" x14ac:dyDescent="0.35">
      <c r="B107" t="s">
        <v>173</v>
      </c>
      <c r="C107">
        <v>468.41</v>
      </c>
      <c r="D107" t="s">
        <v>39</v>
      </c>
      <c r="E107" s="10">
        <v>729.31357107990402</v>
      </c>
      <c r="F107" t="s">
        <v>30</v>
      </c>
      <c r="G107" s="14">
        <v>46023</v>
      </c>
      <c r="H107">
        <v>12404</v>
      </c>
      <c r="I107">
        <v>5810157.6400000006</v>
      </c>
      <c r="J107">
        <v>2257.6229263069499</v>
      </c>
      <c r="K107" t="s">
        <v>40</v>
      </c>
      <c r="L107" s="9" t="s">
        <v>41</v>
      </c>
      <c r="M107" t="s">
        <v>42</v>
      </c>
      <c r="N107" s="12">
        <v>15.274153268064083</v>
      </c>
      <c r="O107" s="13">
        <v>2.0943190794389645E-2</v>
      </c>
      <c r="P107" s="9" t="s">
        <v>173</v>
      </c>
      <c r="Q107">
        <v>478.22</v>
      </c>
      <c r="R107">
        <v>478.22</v>
      </c>
      <c r="S107" t="s">
        <v>39</v>
      </c>
      <c r="T107">
        <v>744.58772434796811</v>
      </c>
      <c r="U107">
        <v>1635990.62</v>
      </c>
      <c r="V107">
        <v>2547234.604994399</v>
      </c>
      <c r="W107" t="s">
        <v>30</v>
      </c>
      <c r="X107" t="s">
        <v>40</v>
      </c>
      <c r="Y107" t="s">
        <v>174</v>
      </c>
      <c r="Z107" t="b">
        <v>0</v>
      </c>
      <c r="AA107" t="s">
        <v>44</v>
      </c>
      <c r="AB107" t="s">
        <v>45</v>
      </c>
      <c r="AC107" t="s">
        <v>175</v>
      </c>
    </row>
    <row r="108" spans="2:29" x14ac:dyDescent="0.35">
      <c r="B108" t="s">
        <v>173</v>
      </c>
      <c r="C108">
        <v>282.08</v>
      </c>
      <c r="D108" t="s">
        <v>39</v>
      </c>
      <c r="E108" s="10">
        <v>439.19807888435196</v>
      </c>
      <c r="F108" t="s">
        <v>30</v>
      </c>
      <c r="G108" s="14">
        <v>46023</v>
      </c>
      <c r="H108">
        <v>16820</v>
      </c>
      <c r="I108">
        <v>4744585.5999999996</v>
      </c>
      <c r="J108">
        <v>1235.3470473500099</v>
      </c>
      <c r="K108" t="s">
        <v>40</v>
      </c>
      <c r="L108" s="9" t="s">
        <v>41</v>
      </c>
      <c r="M108" t="s">
        <v>42</v>
      </c>
      <c r="N108" s="12">
        <v>278.26673517516804</v>
      </c>
      <c r="O108" s="13">
        <v>0.63357912648893944</v>
      </c>
      <c r="P108" s="9" t="s">
        <v>173</v>
      </c>
      <c r="Q108">
        <v>460.8</v>
      </c>
      <c r="R108">
        <v>460.8</v>
      </c>
      <c r="S108" t="s">
        <v>39</v>
      </c>
      <c r="T108">
        <v>717.46481405951999</v>
      </c>
      <c r="U108">
        <v>5810227.2000000002</v>
      </c>
      <c r="V108">
        <v>9046513.8404764868</v>
      </c>
      <c r="W108" t="s">
        <v>30</v>
      </c>
      <c r="X108" t="s">
        <v>40</v>
      </c>
      <c r="Y108" t="s">
        <v>174</v>
      </c>
      <c r="Z108" t="b">
        <v>0</v>
      </c>
      <c r="AA108" t="s">
        <v>44</v>
      </c>
      <c r="AB108" t="s">
        <v>45</v>
      </c>
      <c r="AC108" t="s">
        <v>175</v>
      </c>
    </row>
    <row r="109" spans="2:29" x14ac:dyDescent="0.35">
      <c r="B109" t="s">
        <v>173</v>
      </c>
      <c r="C109">
        <v>832.75</v>
      </c>
      <c r="D109" t="s">
        <v>39</v>
      </c>
      <c r="E109" s="10">
        <v>1296.5903296616</v>
      </c>
      <c r="F109" t="s">
        <v>30</v>
      </c>
      <c r="G109" s="14">
        <v>46023</v>
      </c>
      <c r="H109">
        <v>968</v>
      </c>
      <c r="I109">
        <v>806102</v>
      </c>
      <c r="J109">
        <v>4586.2695754115903</v>
      </c>
      <c r="K109" t="s">
        <v>40</v>
      </c>
      <c r="L109" s="9" t="s">
        <v>41</v>
      </c>
      <c r="M109" t="s">
        <v>42</v>
      </c>
      <c r="N109" s="12">
        <v>1055.520283739648</v>
      </c>
      <c r="O109" s="13">
        <v>0.81407385169618729</v>
      </c>
      <c r="P109" s="9" t="s">
        <v>173</v>
      </c>
      <c r="Q109">
        <v>154.83000000000001</v>
      </c>
      <c r="R109">
        <v>154.83000000000001</v>
      </c>
      <c r="S109" t="s">
        <v>39</v>
      </c>
      <c r="T109">
        <v>241.07004592195202</v>
      </c>
      <c r="U109">
        <v>2584267.5300000003</v>
      </c>
      <c r="V109">
        <v>4023700.1364833009</v>
      </c>
      <c r="W109" t="s">
        <v>30</v>
      </c>
      <c r="X109" t="s">
        <v>40</v>
      </c>
      <c r="Y109" t="s">
        <v>174</v>
      </c>
      <c r="Z109" t="b">
        <v>0</v>
      </c>
      <c r="AA109" t="s">
        <v>44</v>
      </c>
      <c r="AB109" t="s">
        <v>45</v>
      </c>
      <c r="AC109" t="s">
        <v>175</v>
      </c>
    </row>
    <row r="110" spans="2:29" x14ac:dyDescent="0.35">
      <c r="B110" t="s">
        <v>173</v>
      </c>
      <c r="C110">
        <v>439.22</v>
      </c>
      <c r="D110" t="s">
        <v>39</v>
      </c>
      <c r="E110" s="10">
        <v>683.86479086636803</v>
      </c>
      <c r="F110" t="s">
        <v>30</v>
      </c>
      <c r="G110" s="14">
        <v>46023</v>
      </c>
      <c r="H110">
        <v>5132</v>
      </c>
      <c r="I110">
        <v>2254077.04</v>
      </c>
      <c r="J110">
        <v>653.18538507385199</v>
      </c>
      <c r="K110" t="s">
        <v>40</v>
      </c>
      <c r="L110" s="9" t="s">
        <v>41</v>
      </c>
      <c r="M110" t="s">
        <v>42</v>
      </c>
      <c r="N110" s="12">
        <v>491.62221145680002</v>
      </c>
      <c r="O110" s="13">
        <v>0.71888802877828883</v>
      </c>
      <c r="P110" s="9" t="s">
        <v>173</v>
      </c>
      <c r="Q110">
        <v>123.47</v>
      </c>
      <c r="R110">
        <v>123.47</v>
      </c>
      <c r="S110" t="s">
        <v>39</v>
      </c>
      <c r="T110">
        <v>192.24257940956801</v>
      </c>
      <c r="U110">
        <v>694765.69</v>
      </c>
      <c r="V110">
        <v>1081748.9943376391</v>
      </c>
      <c r="W110" t="s">
        <v>30</v>
      </c>
      <c r="X110" t="s">
        <v>40</v>
      </c>
      <c r="Y110" t="s">
        <v>174</v>
      </c>
      <c r="Z110" t="b">
        <v>0</v>
      </c>
      <c r="AA110" t="s">
        <v>44</v>
      </c>
      <c r="AB110" t="s">
        <v>45</v>
      </c>
      <c r="AC110" t="s">
        <v>175</v>
      </c>
    </row>
    <row r="111" spans="2:29" x14ac:dyDescent="0.35">
      <c r="B111" t="s">
        <v>173</v>
      </c>
      <c r="C111">
        <v>393.79</v>
      </c>
      <c r="D111" t="s">
        <v>39</v>
      </c>
      <c r="E111" s="10">
        <v>613.13035835177607</v>
      </c>
      <c r="F111" t="s">
        <v>30</v>
      </c>
      <c r="G111" s="14">
        <v>46023</v>
      </c>
      <c r="H111">
        <v>17695</v>
      </c>
      <c r="I111">
        <v>6968114.0500000007</v>
      </c>
      <c r="J111">
        <v>6985.9399473139201</v>
      </c>
      <c r="K111" t="s">
        <v>40</v>
      </c>
      <c r="L111" s="9" t="s">
        <v>41</v>
      </c>
      <c r="M111" t="s">
        <v>42</v>
      </c>
      <c r="N111" s="12">
        <v>378.98895483990407</v>
      </c>
      <c r="O111" s="13">
        <v>0.61812133370578226</v>
      </c>
      <c r="P111" s="9" t="s">
        <v>173</v>
      </c>
      <c r="Q111">
        <v>150.38</v>
      </c>
      <c r="R111">
        <v>150.38</v>
      </c>
      <c r="S111" t="s">
        <v>39</v>
      </c>
      <c r="T111">
        <v>234.141403511872</v>
      </c>
      <c r="U111">
        <v>607384.81999999995</v>
      </c>
      <c r="V111">
        <v>945697.12878445105</v>
      </c>
      <c r="W111" t="s">
        <v>30</v>
      </c>
      <c r="X111" t="s">
        <v>40</v>
      </c>
      <c r="Y111" t="s">
        <v>174</v>
      </c>
      <c r="Z111" t="b">
        <v>0</v>
      </c>
      <c r="AA111" t="s">
        <v>44</v>
      </c>
      <c r="AB111" t="s">
        <v>45</v>
      </c>
      <c r="AC111" t="s">
        <v>175</v>
      </c>
    </row>
    <row r="112" spans="2:29" x14ac:dyDescent="0.35">
      <c r="B112" t="s">
        <v>176</v>
      </c>
      <c r="C112">
        <v>692.27</v>
      </c>
      <c r="D112" t="s">
        <v>39</v>
      </c>
      <c r="E112" s="10">
        <v>1077.8632092642879</v>
      </c>
      <c r="F112" t="s">
        <v>30</v>
      </c>
      <c r="G112" s="14">
        <v>46023</v>
      </c>
      <c r="H112">
        <v>2481</v>
      </c>
      <c r="I112">
        <v>1717521.8699999999</v>
      </c>
      <c r="J112">
        <v>3062.3353853918102</v>
      </c>
      <c r="K112" t="s">
        <v>40</v>
      </c>
      <c r="L112" s="9" t="s">
        <v>41</v>
      </c>
      <c r="M112" t="s">
        <v>42</v>
      </c>
      <c r="N112" s="12">
        <v>166.31855780780779</v>
      </c>
      <c r="O112" s="13">
        <v>0.15430395654874526</v>
      </c>
      <c r="P112" s="9" t="s">
        <v>176</v>
      </c>
      <c r="Q112">
        <v>585.45000000000005</v>
      </c>
      <c r="R112">
        <v>585.45000000000005</v>
      </c>
      <c r="S112" t="s">
        <v>39</v>
      </c>
      <c r="T112">
        <v>911.5446514564801</v>
      </c>
      <c r="U112">
        <v>6973880.4000000004</v>
      </c>
      <c r="V112">
        <v>10858319.888149591</v>
      </c>
      <c r="W112" t="s">
        <v>30</v>
      </c>
      <c r="X112" t="s">
        <v>40</v>
      </c>
      <c r="Y112" t="s">
        <v>177</v>
      </c>
      <c r="Z112" t="b">
        <v>0</v>
      </c>
      <c r="AA112" t="s">
        <v>44</v>
      </c>
      <c r="AB112" t="s">
        <v>45</v>
      </c>
      <c r="AC112" t="s">
        <v>158</v>
      </c>
    </row>
    <row r="113" spans="2:29" x14ac:dyDescent="0.35">
      <c r="B113" t="s">
        <v>176</v>
      </c>
      <c r="C113">
        <v>969.94</v>
      </c>
      <c r="D113" t="s">
        <v>39</v>
      </c>
      <c r="E113" s="10">
        <v>1510.194925670336</v>
      </c>
      <c r="F113" t="s">
        <v>30</v>
      </c>
      <c r="G113" s="14">
        <v>46023</v>
      </c>
      <c r="H113">
        <v>2327</v>
      </c>
      <c r="I113">
        <v>2257050.3800000004</v>
      </c>
      <c r="J113">
        <v>142.43420397171201</v>
      </c>
      <c r="K113" t="s">
        <v>40</v>
      </c>
      <c r="L113" s="9" t="s">
        <v>41</v>
      </c>
      <c r="M113" t="s">
        <v>42</v>
      </c>
      <c r="N113" s="12">
        <v>250.86356519372794</v>
      </c>
      <c r="O113" s="13">
        <v>0.16611336783718575</v>
      </c>
      <c r="P113" s="9" t="s">
        <v>176</v>
      </c>
      <c r="Q113">
        <v>808.82</v>
      </c>
      <c r="R113">
        <v>808.82</v>
      </c>
      <c r="S113" t="s">
        <v>39</v>
      </c>
      <c r="T113">
        <v>1259.3313604766081</v>
      </c>
      <c r="U113">
        <v>13110163.380000001</v>
      </c>
      <c r="V113">
        <v>20412502.02196534</v>
      </c>
      <c r="W113" t="s">
        <v>30</v>
      </c>
      <c r="X113" t="s">
        <v>40</v>
      </c>
      <c r="Y113" t="s">
        <v>177</v>
      </c>
      <c r="Z113" t="b">
        <v>0</v>
      </c>
      <c r="AA113" t="s">
        <v>44</v>
      </c>
      <c r="AB113" t="s">
        <v>45</v>
      </c>
      <c r="AC113" t="s">
        <v>158</v>
      </c>
    </row>
    <row r="114" spans="2:29" x14ac:dyDescent="0.35">
      <c r="B114" t="s">
        <v>176</v>
      </c>
      <c r="C114">
        <v>236.41</v>
      </c>
      <c r="D114" t="s">
        <v>39</v>
      </c>
      <c r="E114" s="10">
        <v>368.08996677910403</v>
      </c>
      <c r="F114" t="s">
        <v>30</v>
      </c>
      <c r="G114" s="14">
        <v>46023</v>
      </c>
      <c r="H114">
        <v>16168</v>
      </c>
      <c r="I114">
        <v>3822276.88</v>
      </c>
      <c r="J114">
        <v>3204.76958936352</v>
      </c>
      <c r="K114" t="s">
        <v>40</v>
      </c>
      <c r="L114" s="9" t="s">
        <v>41</v>
      </c>
      <c r="M114" t="s">
        <v>42</v>
      </c>
      <c r="N114" s="12">
        <v>403.32483818137592</v>
      </c>
      <c r="O114" s="13">
        <v>1.0957235311535043</v>
      </c>
      <c r="P114" s="9" t="s">
        <v>176</v>
      </c>
      <c r="Q114">
        <v>495.45</v>
      </c>
      <c r="R114">
        <v>495.45</v>
      </c>
      <c r="S114" t="s">
        <v>39</v>
      </c>
      <c r="T114">
        <v>771.41480496047996</v>
      </c>
      <c r="U114">
        <v>4117189.5</v>
      </c>
      <c r="V114">
        <v>6410457.0292215887</v>
      </c>
      <c r="W114" t="s">
        <v>30</v>
      </c>
      <c r="X114" t="s">
        <v>40</v>
      </c>
      <c r="Y114" t="s">
        <v>177</v>
      </c>
      <c r="Z114" t="b">
        <v>0</v>
      </c>
      <c r="AA114" t="s">
        <v>44</v>
      </c>
      <c r="AB114" t="s">
        <v>45</v>
      </c>
      <c r="AC114" t="s">
        <v>158</v>
      </c>
    </row>
    <row r="115" spans="2:29" x14ac:dyDescent="0.35">
      <c r="B115" t="s">
        <v>176</v>
      </c>
      <c r="C115">
        <v>598.45000000000005</v>
      </c>
      <c r="D115" t="s">
        <v>39</v>
      </c>
      <c r="E115" s="10">
        <v>931.78562928368012</v>
      </c>
      <c r="F115" t="s">
        <v>30</v>
      </c>
      <c r="G115" s="14">
        <v>46023</v>
      </c>
      <c r="H115">
        <v>13556</v>
      </c>
      <c r="I115">
        <v>8112588.2000000002</v>
      </c>
      <c r="J115">
        <v>925.822325816128</v>
      </c>
      <c r="K115" t="s">
        <v>40</v>
      </c>
      <c r="L115" s="9" t="s">
        <v>41</v>
      </c>
      <c r="M115" t="s">
        <v>42</v>
      </c>
      <c r="N115" s="12">
        <v>902.38950148540812</v>
      </c>
      <c r="O115" s="13">
        <v>0.9684518339042526</v>
      </c>
      <c r="P115" s="9" t="s">
        <v>176</v>
      </c>
      <c r="Q115">
        <v>18.88</v>
      </c>
      <c r="R115">
        <v>18.88</v>
      </c>
      <c r="S115" t="s">
        <v>39</v>
      </c>
      <c r="T115">
        <v>29.396127798271998</v>
      </c>
      <c r="U115">
        <v>302268.79999999999</v>
      </c>
      <c r="V115">
        <v>470632.00605033466</v>
      </c>
      <c r="W115" t="s">
        <v>30</v>
      </c>
      <c r="X115" t="s">
        <v>40</v>
      </c>
      <c r="Y115" t="s">
        <v>177</v>
      </c>
      <c r="Z115" t="b">
        <v>0</v>
      </c>
      <c r="AA115" t="s">
        <v>44</v>
      </c>
      <c r="AB115" t="s">
        <v>45</v>
      </c>
      <c r="AC115" t="s">
        <v>158</v>
      </c>
    </row>
    <row r="116" spans="2:29" x14ac:dyDescent="0.35">
      <c r="B116" t="s">
        <v>176</v>
      </c>
      <c r="C116">
        <v>721.06</v>
      </c>
      <c r="D116" t="s">
        <v>39</v>
      </c>
      <c r="E116" s="10">
        <v>1122.6891901600638</v>
      </c>
      <c r="F116" t="s">
        <v>30</v>
      </c>
      <c r="G116" s="14">
        <v>46023</v>
      </c>
      <c r="H116">
        <v>220</v>
      </c>
      <c r="I116">
        <v>158633.19999999998</v>
      </c>
      <c r="J116">
        <v>3347.2037933352299</v>
      </c>
      <c r="K116" t="s">
        <v>40</v>
      </c>
      <c r="L116" s="9" t="s">
        <v>41</v>
      </c>
      <c r="M116" t="s">
        <v>42</v>
      </c>
      <c r="N116" s="12">
        <v>817.87563406537583</v>
      </c>
      <c r="O116" s="13">
        <v>0.72849693506781676</v>
      </c>
      <c r="P116" s="9" t="s">
        <v>176</v>
      </c>
      <c r="Q116">
        <v>195.77</v>
      </c>
      <c r="R116">
        <v>195.77</v>
      </c>
      <c r="S116" t="s">
        <v>39</v>
      </c>
      <c r="T116">
        <v>304.81355609468801</v>
      </c>
      <c r="U116">
        <v>1340828.73</v>
      </c>
      <c r="V116">
        <v>2087668.0456925181</v>
      </c>
      <c r="W116" t="s">
        <v>30</v>
      </c>
      <c r="X116" t="s">
        <v>40</v>
      </c>
      <c r="Y116" t="s">
        <v>177</v>
      </c>
      <c r="Z116" t="b">
        <v>0</v>
      </c>
      <c r="AA116" t="s">
        <v>44</v>
      </c>
      <c r="AB116" t="s">
        <v>45</v>
      </c>
      <c r="AC116" t="s">
        <v>158</v>
      </c>
    </row>
    <row r="117" spans="2:29" x14ac:dyDescent="0.35">
      <c r="B117" t="s">
        <v>178</v>
      </c>
      <c r="C117">
        <v>763.19</v>
      </c>
      <c r="D117" t="s">
        <v>179</v>
      </c>
      <c r="E117" s="10">
        <v>763.19</v>
      </c>
      <c r="F117" t="s">
        <v>30</v>
      </c>
      <c r="G117" s="14">
        <v>46023</v>
      </c>
      <c r="H117">
        <v>1544</v>
      </c>
      <c r="I117">
        <v>1178365.3600000001</v>
      </c>
      <c r="J117">
        <v>146306.97899999999</v>
      </c>
      <c r="K117" t="s">
        <v>180</v>
      </c>
      <c r="L117" s="9" t="s">
        <v>181</v>
      </c>
      <c r="M117" t="s">
        <v>42</v>
      </c>
      <c r="N117" s="12">
        <v>517.91000000000008</v>
      </c>
      <c r="O117" s="13">
        <v>0.67861214114440704</v>
      </c>
      <c r="P117" s="9" t="s">
        <v>178</v>
      </c>
      <c r="Q117">
        <v>245.28</v>
      </c>
      <c r="R117">
        <v>245.28</v>
      </c>
      <c r="S117" t="s">
        <v>179</v>
      </c>
      <c r="T117">
        <v>245.28</v>
      </c>
      <c r="U117">
        <v>724066.56</v>
      </c>
      <c r="V117">
        <v>724066.56</v>
      </c>
      <c r="W117" t="s">
        <v>30</v>
      </c>
      <c r="X117" t="s">
        <v>180</v>
      </c>
      <c r="Y117" t="s">
        <v>182</v>
      </c>
      <c r="Z117" t="b">
        <v>0</v>
      </c>
      <c r="AA117" t="s">
        <v>44</v>
      </c>
      <c r="AB117" t="s">
        <v>36</v>
      </c>
      <c r="AC117">
        <v>0</v>
      </c>
    </row>
    <row r="118" spans="2:29" x14ac:dyDescent="0.35">
      <c r="B118" t="s">
        <v>183</v>
      </c>
      <c r="C118">
        <v>287.45999999999998</v>
      </c>
      <c r="D118" t="s">
        <v>179</v>
      </c>
      <c r="E118" s="10">
        <v>287.45999999999998</v>
      </c>
      <c r="F118" t="s">
        <v>30</v>
      </c>
      <c r="G118" s="14">
        <v>46023</v>
      </c>
      <c r="H118">
        <v>19982</v>
      </c>
      <c r="I118">
        <v>5744025.7199999997</v>
      </c>
      <c r="J118">
        <v>4050.8</v>
      </c>
      <c r="K118" t="s">
        <v>184</v>
      </c>
      <c r="L118" s="9" t="s">
        <v>185</v>
      </c>
      <c r="M118" t="s">
        <v>42</v>
      </c>
      <c r="N118" s="12">
        <v>77.72999999999999</v>
      </c>
      <c r="O118" s="13">
        <v>0.27040283865581299</v>
      </c>
      <c r="P118" s="9" t="s">
        <v>183</v>
      </c>
      <c r="Q118">
        <v>209.73</v>
      </c>
      <c r="R118">
        <v>209.73</v>
      </c>
      <c r="S118" t="s">
        <v>179</v>
      </c>
      <c r="T118">
        <v>209.73</v>
      </c>
      <c r="U118">
        <v>3389656.26</v>
      </c>
      <c r="V118">
        <v>3389656.26</v>
      </c>
      <c r="W118" t="s">
        <v>30</v>
      </c>
      <c r="X118" t="s">
        <v>184</v>
      </c>
      <c r="Y118" t="s">
        <v>186</v>
      </c>
      <c r="Z118" t="b">
        <v>0</v>
      </c>
      <c r="AA118" t="s">
        <v>44</v>
      </c>
      <c r="AB118" t="s">
        <v>36</v>
      </c>
      <c r="AC118" t="s">
        <v>187</v>
      </c>
    </row>
    <row r="119" spans="2:29" x14ac:dyDescent="0.35">
      <c r="B119" t="s">
        <v>183</v>
      </c>
      <c r="C119">
        <v>978.71</v>
      </c>
      <c r="D119" t="s">
        <v>179</v>
      </c>
      <c r="E119" s="10">
        <v>978.71</v>
      </c>
      <c r="F119" t="s">
        <v>30</v>
      </c>
      <c r="G119" s="14">
        <v>46023</v>
      </c>
      <c r="H119">
        <v>6543</v>
      </c>
      <c r="I119">
        <v>6403699.5300000003</v>
      </c>
      <c r="J119">
        <v>7088.8</v>
      </c>
      <c r="K119" t="s">
        <v>184</v>
      </c>
      <c r="L119" s="9" t="s">
        <v>185</v>
      </c>
      <c r="M119" t="s">
        <v>42</v>
      </c>
      <c r="N119" s="12">
        <v>505.89000000000004</v>
      </c>
      <c r="O119" s="13">
        <v>0.5168946879055083</v>
      </c>
      <c r="P119" s="9" t="s">
        <v>183</v>
      </c>
      <c r="Q119">
        <v>472.82</v>
      </c>
      <c r="R119">
        <v>472.82</v>
      </c>
      <c r="S119" t="s">
        <v>179</v>
      </c>
      <c r="T119">
        <v>472.82</v>
      </c>
      <c r="U119">
        <v>8598231.6999999993</v>
      </c>
      <c r="V119">
        <v>8598231.6999999993</v>
      </c>
      <c r="W119" t="s">
        <v>30</v>
      </c>
      <c r="X119" t="s">
        <v>184</v>
      </c>
      <c r="Y119" t="s">
        <v>186</v>
      </c>
      <c r="Z119" t="b">
        <v>0</v>
      </c>
      <c r="AA119" t="s">
        <v>44</v>
      </c>
      <c r="AB119" t="s">
        <v>36</v>
      </c>
      <c r="AC119" t="s">
        <v>187</v>
      </c>
    </row>
    <row r="120" spans="2:29" x14ac:dyDescent="0.35">
      <c r="B120" t="s">
        <v>188</v>
      </c>
      <c r="C120">
        <v>267.77</v>
      </c>
      <c r="D120" t="s">
        <v>179</v>
      </c>
      <c r="E120" s="10">
        <v>267.77</v>
      </c>
      <c r="F120" t="s">
        <v>30</v>
      </c>
      <c r="G120" s="14">
        <v>46023</v>
      </c>
      <c r="H120">
        <v>2389</v>
      </c>
      <c r="I120">
        <v>639702.52999999991</v>
      </c>
      <c r="J120">
        <v>2785.5</v>
      </c>
      <c r="K120" t="s">
        <v>184</v>
      </c>
      <c r="L120" s="9" t="s">
        <v>185</v>
      </c>
      <c r="M120" t="s">
        <v>42</v>
      </c>
      <c r="N120" s="12">
        <v>14.659999999999968</v>
      </c>
      <c r="O120" s="13">
        <v>5.4748478171565036E-2</v>
      </c>
      <c r="P120" s="9" t="s">
        <v>188</v>
      </c>
      <c r="Q120">
        <v>253.11</v>
      </c>
      <c r="R120">
        <v>253.11</v>
      </c>
      <c r="S120" t="s">
        <v>179</v>
      </c>
      <c r="T120">
        <v>253.11</v>
      </c>
      <c r="U120">
        <v>2494652.16</v>
      </c>
      <c r="V120">
        <v>2494652.16</v>
      </c>
      <c r="W120" t="s">
        <v>30</v>
      </c>
      <c r="X120" t="s">
        <v>184</v>
      </c>
      <c r="Y120" t="s">
        <v>189</v>
      </c>
      <c r="Z120" t="b">
        <v>0</v>
      </c>
      <c r="AA120" t="s">
        <v>44</v>
      </c>
      <c r="AB120" t="s">
        <v>36</v>
      </c>
      <c r="AC120" t="s">
        <v>187</v>
      </c>
    </row>
    <row r="121" spans="2:29" x14ac:dyDescent="0.35">
      <c r="B121" t="s">
        <v>188</v>
      </c>
      <c r="C121">
        <v>529.04</v>
      </c>
      <c r="D121" t="s">
        <v>179</v>
      </c>
      <c r="E121" s="10">
        <v>529.04</v>
      </c>
      <c r="F121" t="s">
        <v>30</v>
      </c>
      <c r="G121" s="14">
        <v>46023</v>
      </c>
      <c r="H121">
        <v>11511</v>
      </c>
      <c r="I121">
        <v>6089779.4399999995</v>
      </c>
      <c r="J121">
        <v>2785.5</v>
      </c>
      <c r="K121" t="s">
        <v>184</v>
      </c>
      <c r="L121" s="9" t="s">
        <v>185</v>
      </c>
      <c r="M121" t="s">
        <v>42</v>
      </c>
      <c r="N121" s="12">
        <v>449.41999999999996</v>
      </c>
      <c r="O121" s="13">
        <v>0.84950098291244514</v>
      </c>
      <c r="P121" s="9" t="s">
        <v>188</v>
      </c>
      <c r="Q121">
        <v>79.62</v>
      </c>
      <c r="R121">
        <v>79.62</v>
      </c>
      <c r="S121" t="s">
        <v>179</v>
      </c>
      <c r="T121">
        <v>79.62</v>
      </c>
      <c r="U121">
        <v>901935.3600000001</v>
      </c>
      <c r="V121">
        <v>901935.3600000001</v>
      </c>
      <c r="W121" t="s">
        <v>30</v>
      </c>
      <c r="X121" t="s">
        <v>184</v>
      </c>
      <c r="Y121" t="s">
        <v>189</v>
      </c>
      <c r="Z121" t="b">
        <v>0</v>
      </c>
      <c r="AA121" t="s">
        <v>44</v>
      </c>
      <c r="AB121" t="s">
        <v>36</v>
      </c>
      <c r="AC121" t="s">
        <v>187</v>
      </c>
    </row>
    <row r="122" spans="2:29" x14ac:dyDescent="0.35">
      <c r="B122" t="s">
        <v>190</v>
      </c>
      <c r="C122">
        <v>995.6</v>
      </c>
      <c r="D122" t="s">
        <v>179</v>
      </c>
      <c r="E122" s="10">
        <v>995.6</v>
      </c>
      <c r="F122" t="s">
        <v>30</v>
      </c>
      <c r="G122" s="14">
        <v>46023</v>
      </c>
      <c r="H122">
        <v>802</v>
      </c>
      <c r="I122">
        <v>798471.20000000007</v>
      </c>
      <c r="J122">
        <v>3500</v>
      </c>
      <c r="K122" t="s">
        <v>184</v>
      </c>
      <c r="L122" s="9" t="s">
        <v>185</v>
      </c>
      <c r="M122" t="s">
        <v>42</v>
      </c>
      <c r="N122" s="12">
        <v>877.88</v>
      </c>
      <c r="O122" s="13">
        <v>0.88175974286862191</v>
      </c>
      <c r="P122" s="9" t="s">
        <v>190</v>
      </c>
      <c r="Q122">
        <v>117.72</v>
      </c>
      <c r="R122">
        <v>117.72</v>
      </c>
      <c r="S122" t="s">
        <v>179</v>
      </c>
      <c r="T122">
        <v>117.72</v>
      </c>
      <c r="U122">
        <v>1090204.92</v>
      </c>
      <c r="V122">
        <v>1090204.92</v>
      </c>
      <c r="W122" t="s">
        <v>30</v>
      </c>
      <c r="X122" t="s">
        <v>184</v>
      </c>
      <c r="Y122" t="s">
        <v>191</v>
      </c>
      <c r="Z122" t="b">
        <v>0</v>
      </c>
      <c r="AA122" t="s">
        <v>44</v>
      </c>
      <c r="AB122" t="s">
        <v>36</v>
      </c>
      <c r="AC122" t="s">
        <v>187</v>
      </c>
    </row>
    <row r="123" spans="2:29" x14ac:dyDescent="0.35">
      <c r="B123" t="s">
        <v>190</v>
      </c>
      <c r="C123">
        <v>261.99</v>
      </c>
      <c r="D123" t="s">
        <v>179</v>
      </c>
      <c r="E123" s="10">
        <v>261.99</v>
      </c>
      <c r="F123" t="s">
        <v>30</v>
      </c>
      <c r="G123" s="14">
        <v>46023</v>
      </c>
      <c r="H123">
        <v>18262</v>
      </c>
      <c r="I123">
        <v>4784461.38</v>
      </c>
      <c r="J123">
        <v>4050.8</v>
      </c>
      <c r="K123" t="s">
        <v>184</v>
      </c>
      <c r="L123" s="9" t="s">
        <v>185</v>
      </c>
      <c r="M123" t="s">
        <v>42</v>
      </c>
      <c r="N123" s="12">
        <v>284.66999999999996</v>
      </c>
      <c r="O123" s="13">
        <v>1.0865681896255581</v>
      </c>
      <c r="P123" s="9" t="s">
        <v>190</v>
      </c>
      <c r="Q123">
        <v>546.66</v>
      </c>
      <c r="R123">
        <v>546.66</v>
      </c>
      <c r="S123" t="s">
        <v>179</v>
      </c>
      <c r="T123">
        <v>546.66</v>
      </c>
      <c r="U123">
        <v>3571329.78</v>
      </c>
      <c r="V123">
        <v>3571329.78</v>
      </c>
      <c r="W123" t="s">
        <v>30</v>
      </c>
      <c r="X123" t="s">
        <v>184</v>
      </c>
      <c r="Y123" t="s">
        <v>191</v>
      </c>
      <c r="Z123" t="b">
        <v>0</v>
      </c>
      <c r="AA123" t="s">
        <v>44</v>
      </c>
      <c r="AB123" t="s">
        <v>36</v>
      </c>
      <c r="AC123" t="s">
        <v>187</v>
      </c>
    </row>
    <row r="124" spans="2:29" x14ac:dyDescent="0.35">
      <c r="B124" t="s">
        <v>190</v>
      </c>
      <c r="C124">
        <v>750.9</v>
      </c>
      <c r="D124" t="s">
        <v>179</v>
      </c>
      <c r="E124" s="10">
        <v>750.9</v>
      </c>
      <c r="F124" t="s">
        <v>30</v>
      </c>
      <c r="G124" s="14">
        <v>46023</v>
      </c>
      <c r="H124">
        <v>11667</v>
      </c>
      <c r="I124">
        <v>8760750.2999999989</v>
      </c>
      <c r="J124">
        <v>7088.8</v>
      </c>
      <c r="K124" t="s">
        <v>184</v>
      </c>
      <c r="L124" s="9" t="s">
        <v>185</v>
      </c>
      <c r="M124" t="s">
        <v>42</v>
      </c>
      <c r="N124" s="12">
        <v>358.76</v>
      </c>
      <c r="O124" s="13">
        <v>0.47777333866027433</v>
      </c>
      <c r="P124" s="9" t="s">
        <v>190</v>
      </c>
      <c r="Q124">
        <v>392.14</v>
      </c>
      <c r="R124">
        <v>392.14</v>
      </c>
      <c r="S124" t="s">
        <v>179</v>
      </c>
      <c r="T124">
        <v>392.14</v>
      </c>
      <c r="U124">
        <v>2789291.82</v>
      </c>
      <c r="V124">
        <v>2789291.82</v>
      </c>
      <c r="W124" t="s">
        <v>30</v>
      </c>
      <c r="X124" t="s">
        <v>184</v>
      </c>
      <c r="Y124" t="s">
        <v>191</v>
      </c>
      <c r="Z124" t="b">
        <v>0</v>
      </c>
      <c r="AA124" t="s">
        <v>44</v>
      </c>
      <c r="AB124" t="s">
        <v>36</v>
      </c>
      <c r="AC124" t="s">
        <v>187</v>
      </c>
    </row>
    <row r="125" spans="2:29" x14ac:dyDescent="0.35">
      <c r="B125" t="s">
        <v>192</v>
      </c>
      <c r="C125">
        <v>289.76</v>
      </c>
      <c r="D125" t="s">
        <v>29</v>
      </c>
      <c r="E125" s="10">
        <v>2692.0913419999997</v>
      </c>
      <c r="F125" t="s">
        <v>30</v>
      </c>
      <c r="G125" s="14">
        <v>46023</v>
      </c>
      <c r="H125">
        <v>7250</v>
      </c>
      <c r="I125">
        <v>2100760</v>
      </c>
      <c r="J125">
        <v>205301.69526750001</v>
      </c>
      <c r="K125" t="s">
        <v>193</v>
      </c>
      <c r="L125" s="9" t="s">
        <v>194</v>
      </c>
      <c r="M125" t="s">
        <v>42</v>
      </c>
      <c r="N125" s="12">
        <v>5194.7440366250003</v>
      </c>
      <c r="O125" s="13">
        <v>1.9296314191054669</v>
      </c>
      <c r="P125" s="9" t="s">
        <v>192</v>
      </c>
      <c r="Q125">
        <v>848.89</v>
      </c>
      <c r="R125">
        <v>848.89</v>
      </c>
      <c r="S125" t="s">
        <v>29</v>
      </c>
      <c r="T125">
        <v>7886.835378625</v>
      </c>
      <c r="U125">
        <v>12621296.52</v>
      </c>
      <c r="V125">
        <v>117261468.4093965</v>
      </c>
      <c r="W125" t="s">
        <v>30</v>
      </c>
      <c r="X125" t="s">
        <v>193</v>
      </c>
      <c r="Y125" t="s">
        <v>195</v>
      </c>
      <c r="Z125" t="b">
        <v>0</v>
      </c>
      <c r="AA125" t="s">
        <v>44</v>
      </c>
      <c r="AB125" t="s">
        <v>36</v>
      </c>
      <c r="AC125" t="s">
        <v>196</v>
      </c>
    </row>
    <row r="126" spans="2:29" x14ac:dyDescent="0.35">
      <c r="B126" t="s">
        <v>192</v>
      </c>
      <c r="C126">
        <v>756.08</v>
      </c>
      <c r="D126" t="s">
        <v>29</v>
      </c>
      <c r="E126" s="10">
        <v>7024.5597109999999</v>
      </c>
      <c r="F126" t="s">
        <v>30</v>
      </c>
      <c r="G126" s="14">
        <v>46023</v>
      </c>
      <c r="H126">
        <v>16820</v>
      </c>
      <c r="I126">
        <v>12717265.600000001</v>
      </c>
      <c r="J126">
        <v>1018710.9251865</v>
      </c>
      <c r="K126" t="s">
        <v>193</v>
      </c>
      <c r="L126" s="9" t="s">
        <v>194</v>
      </c>
      <c r="M126" t="s">
        <v>42</v>
      </c>
      <c r="N126" s="12">
        <v>505.78911049999988</v>
      </c>
      <c r="O126" s="13">
        <v>7.2002962649455063E-2</v>
      </c>
      <c r="P126" s="9" t="s">
        <v>192</v>
      </c>
      <c r="Q126">
        <v>701.64</v>
      </c>
      <c r="R126">
        <v>701.64</v>
      </c>
      <c r="S126" t="s">
        <v>29</v>
      </c>
      <c r="T126">
        <v>6518.7706005</v>
      </c>
      <c r="U126">
        <v>3869544.6</v>
      </c>
      <c r="V126">
        <v>35951019.861757502</v>
      </c>
      <c r="W126" t="s">
        <v>30</v>
      </c>
      <c r="X126" t="s">
        <v>193</v>
      </c>
      <c r="Y126" t="s">
        <v>195</v>
      </c>
      <c r="Z126" t="b">
        <v>0</v>
      </c>
      <c r="AA126" t="s">
        <v>44</v>
      </c>
      <c r="AB126" t="s">
        <v>36</v>
      </c>
      <c r="AC126" t="s">
        <v>196</v>
      </c>
    </row>
    <row r="127" spans="2:29" x14ac:dyDescent="0.35">
      <c r="B127" t="s">
        <v>197</v>
      </c>
      <c r="C127">
        <v>888.55</v>
      </c>
      <c r="D127" t="s">
        <v>29</v>
      </c>
      <c r="E127" s="10">
        <v>8255.3070193749991</v>
      </c>
      <c r="F127" t="s">
        <v>30</v>
      </c>
      <c r="G127" s="14">
        <v>46023</v>
      </c>
      <c r="H127">
        <v>2535</v>
      </c>
      <c r="I127">
        <v>2252474.25</v>
      </c>
      <c r="J127">
        <v>37103.124581875003</v>
      </c>
      <c r="K127" t="s">
        <v>193</v>
      </c>
      <c r="L127" s="9" t="s">
        <v>194</v>
      </c>
      <c r="M127" t="s">
        <v>42</v>
      </c>
      <c r="N127" s="12">
        <v>11.334730250000575</v>
      </c>
      <c r="O127" s="13">
        <v>1.3730234651961758E-3</v>
      </c>
      <c r="P127" s="9" t="s">
        <v>197</v>
      </c>
      <c r="Q127">
        <v>889.77</v>
      </c>
      <c r="R127">
        <v>889.77</v>
      </c>
      <c r="S127" t="s">
        <v>29</v>
      </c>
      <c r="T127">
        <v>8266.6417496249996</v>
      </c>
      <c r="U127">
        <v>1598026.92</v>
      </c>
      <c r="V127">
        <v>14846888.5823265</v>
      </c>
      <c r="W127" t="s">
        <v>30</v>
      </c>
      <c r="X127" t="s">
        <v>193</v>
      </c>
      <c r="Y127" t="s">
        <v>198</v>
      </c>
      <c r="Z127" t="b">
        <v>0</v>
      </c>
      <c r="AA127" t="s">
        <v>44</v>
      </c>
      <c r="AB127" t="s">
        <v>36</v>
      </c>
      <c r="AC127" t="s">
        <v>158</v>
      </c>
    </row>
    <row r="128" spans="2:29" x14ac:dyDescent="0.35">
      <c r="B128" t="s">
        <v>199</v>
      </c>
      <c r="C128">
        <v>134.06</v>
      </c>
      <c r="D128" t="s">
        <v>29</v>
      </c>
      <c r="E128" s="10">
        <v>1245.5196207500001</v>
      </c>
      <c r="F128" t="s">
        <v>30</v>
      </c>
      <c r="G128" s="14">
        <v>46023</v>
      </c>
      <c r="H128">
        <v>4546</v>
      </c>
      <c r="I128">
        <v>609436.76</v>
      </c>
      <c r="J128">
        <v>582083.96023680002</v>
      </c>
      <c r="K128" t="s">
        <v>193</v>
      </c>
      <c r="L128" s="9" t="s">
        <v>194</v>
      </c>
      <c r="M128" t="s">
        <v>42</v>
      </c>
      <c r="N128" s="12">
        <v>414.55382275000011</v>
      </c>
      <c r="O128" s="13">
        <v>0.33283604356258401</v>
      </c>
      <c r="P128" s="9" t="s">
        <v>199</v>
      </c>
      <c r="Q128">
        <v>89.44</v>
      </c>
      <c r="R128">
        <v>89.44</v>
      </c>
      <c r="S128" t="s">
        <v>29</v>
      </c>
      <c r="T128">
        <v>830.96579799999995</v>
      </c>
      <c r="U128">
        <v>1648736.96</v>
      </c>
      <c r="V128">
        <v>15318023.520331999</v>
      </c>
      <c r="W128" t="s">
        <v>30</v>
      </c>
      <c r="X128" t="s">
        <v>193</v>
      </c>
      <c r="Y128" t="s">
        <v>195</v>
      </c>
      <c r="Z128" t="b">
        <v>0</v>
      </c>
      <c r="AA128" t="s">
        <v>44</v>
      </c>
      <c r="AB128" t="s">
        <v>36</v>
      </c>
      <c r="AC128" t="s">
        <v>196</v>
      </c>
    </row>
    <row r="129" spans="2:29" x14ac:dyDescent="0.35">
      <c r="B129" t="s">
        <v>200</v>
      </c>
      <c r="C129">
        <v>943.66</v>
      </c>
      <c r="D129" t="s">
        <v>39</v>
      </c>
      <c r="E129" s="10">
        <v>1469.2770104935039</v>
      </c>
      <c r="F129" t="s">
        <v>30</v>
      </c>
      <c r="G129" s="14">
        <v>46023</v>
      </c>
      <c r="H129">
        <v>12858</v>
      </c>
      <c r="I129">
        <v>12133580.279999999</v>
      </c>
      <c r="J129">
        <v>24096.681693503298</v>
      </c>
      <c r="K129" t="s">
        <v>201</v>
      </c>
      <c r="L129" s="9" t="s">
        <v>202</v>
      </c>
      <c r="M129" t="s">
        <v>42</v>
      </c>
      <c r="N129" s="12">
        <v>833.99056641241589</v>
      </c>
      <c r="O129" s="13">
        <v>0.56761969353368791</v>
      </c>
      <c r="P129" s="9" t="s">
        <v>200</v>
      </c>
      <c r="Q129">
        <v>408.02</v>
      </c>
      <c r="R129">
        <v>408.02</v>
      </c>
      <c r="S129" t="s">
        <v>39</v>
      </c>
      <c r="T129">
        <v>635.28644408108801</v>
      </c>
      <c r="U129">
        <v>1138375.8</v>
      </c>
      <c r="V129">
        <v>1772449.1789862355</v>
      </c>
      <c r="W129" t="s">
        <v>30</v>
      </c>
      <c r="X129" t="s">
        <v>201</v>
      </c>
      <c r="Y129" t="s">
        <v>203</v>
      </c>
      <c r="Z129" t="b">
        <v>0</v>
      </c>
      <c r="AA129" t="s">
        <v>44</v>
      </c>
      <c r="AB129" t="s">
        <v>45</v>
      </c>
      <c r="AC129" t="s">
        <v>204</v>
      </c>
    </row>
    <row r="130" spans="2:29" x14ac:dyDescent="0.35">
      <c r="B130" t="s">
        <v>200</v>
      </c>
      <c r="C130">
        <v>787.19</v>
      </c>
      <c r="D130" t="s">
        <v>39</v>
      </c>
      <c r="E130" s="10">
        <v>1225.653487368736</v>
      </c>
      <c r="F130" t="s">
        <v>30</v>
      </c>
      <c r="G130" s="14">
        <v>46023</v>
      </c>
      <c r="H130">
        <v>15091</v>
      </c>
      <c r="I130">
        <v>11879484.290000001</v>
      </c>
      <c r="J130">
        <v>20389.499894502798</v>
      </c>
      <c r="K130" t="s">
        <v>201</v>
      </c>
      <c r="L130" s="9" t="s">
        <v>202</v>
      </c>
      <c r="M130" t="s">
        <v>42</v>
      </c>
      <c r="N130" s="12">
        <v>533.63002543971209</v>
      </c>
      <c r="O130" s="13">
        <v>0.43538408770436621</v>
      </c>
      <c r="P130" s="9" t="s">
        <v>200</v>
      </c>
      <c r="Q130">
        <v>444.46</v>
      </c>
      <c r="R130">
        <v>444.46</v>
      </c>
      <c r="S130" t="s">
        <v>39</v>
      </c>
      <c r="T130">
        <v>692.02346192902394</v>
      </c>
      <c r="U130">
        <v>3273447.9</v>
      </c>
      <c r="V130">
        <v>5096752.7971072616</v>
      </c>
      <c r="W130" t="s">
        <v>30</v>
      </c>
      <c r="X130" t="s">
        <v>201</v>
      </c>
      <c r="Y130" t="s">
        <v>203</v>
      </c>
      <c r="Z130" t="b">
        <v>0</v>
      </c>
      <c r="AA130" t="s">
        <v>44</v>
      </c>
      <c r="AB130" t="s">
        <v>45</v>
      </c>
      <c r="AC130" t="s">
        <v>204</v>
      </c>
    </row>
    <row r="131" spans="2:29" x14ac:dyDescent="0.35">
      <c r="B131" t="s">
        <v>200</v>
      </c>
      <c r="C131">
        <v>642.61</v>
      </c>
      <c r="D131" t="s">
        <v>39</v>
      </c>
      <c r="E131" s="10">
        <v>1000.542673964384</v>
      </c>
      <c r="F131" t="s">
        <v>30</v>
      </c>
      <c r="G131" s="14">
        <v>46023</v>
      </c>
      <c r="H131">
        <v>13810</v>
      </c>
      <c r="I131">
        <v>8874444.0999999996</v>
      </c>
      <c r="J131">
        <v>7414.3635980010204</v>
      </c>
      <c r="K131" t="s">
        <v>201</v>
      </c>
      <c r="L131" s="9" t="s">
        <v>202</v>
      </c>
      <c r="M131" t="s">
        <v>42</v>
      </c>
      <c r="N131" s="12">
        <v>519.975150397824</v>
      </c>
      <c r="O131" s="13">
        <v>0.5196931264686202</v>
      </c>
      <c r="P131" s="9" t="s">
        <v>200</v>
      </c>
      <c r="Q131">
        <v>308.64999999999998</v>
      </c>
      <c r="R131">
        <v>308.64999999999998</v>
      </c>
      <c r="S131" t="s">
        <v>39</v>
      </c>
      <c r="T131">
        <v>480.56752356656</v>
      </c>
      <c r="U131">
        <v>3250393.15</v>
      </c>
      <c r="V131">
        <v>5060856.5906794434</v>
      </c>
      <c r="W131" t="s">
        <v>30</v>
      </c>
      <c r="X131" t="s">
        <v>201</v>
      </c>
      <c r="Y131" t="s">
        <v>203</v>
      </c>
      <c r="Z131" t="b">
        <v>0</v>
      </c>
      <c r="AA131" t="s">
        <v>44</v>
      </c>
      <c r="AB131" t="s">
        <v>45</v>
      </c>
      <c r="AC131" t="s">
        <v>204</v>
      </c>
    </row>
    <row r="132" spans="2:29" x14ac:dyDescent="0.35">
      <c r="B132" t="s">
        <v>200</v>
      </c>
      <c r="C132">
        <v>962.73</v>
      </c>
      <c r="D132" t="s">
        <v>39</v>
      </c>
      <c r="E132" s="10">
        <v>1498.9689679677122</v>
      </c>
      <c r="F132" t="s">
        <v>30</v>
      </c>
      <c r="G132" s="14">
        <v>46023</v>
      </c>
      <c r="H132">
        <v>579</v>
      </c>
      <c r="I132">
        <v>557420.67000000004</v>
      </c>
      <c r="J132">
        <v>1853.5908995002601</v>
      </c>
      <c r="K132" t="s">
        <v>201</v>
      </c>
      <c r="L132" s="9" t="s">
        <v>202</v>
      </c>
      <c r="M132" t="s">
        <v>42</v>
      </c>
      <c r="N132" s="12">
        <v>504.82555699331215</v>
      </c>
      <c r="O132" s="13">
        <v>0.33678185991918819</v>
      </c>
      <c r="P132" s="9" t="s">
        <v>200</v>
      </c>
      <c r="Q132">
        <v>638.5</v>
      </c>
      <c r="R132">
        <v>638.5</v>
      </c>
      <c r="S132" t="s">
        <v>39</v>
      </c>
      <c r="T132">
        <v>994.14341097440001</v>
      </c>
      <c r="U132">
        <v>8621027</v>
      </c>
      <c r="V132">
        <v>13422924.334976349</v>
      </c>
      <c r="W132" t="s">
        <v>30</v>
      </c>
      <c r="X132" t="s">
        <v>201</v>
      </c>
      <c r="Y132" t="s">
        <v>203</v>
      </c>
      <c r="Z132" t="b">
        <v>0</v>
      </c>
      <c r="AA132" t="s">
        <v>44</v>
      </c>
      <c r="AB132" t="s">
        <v>45</v>
      </c>
      <c r="AC132" t="s">
        <v>204</v>
      </c>
    </row>
    <row r="133" spans="2:29" x14ac:dyDescent="0.35">
      <c r="B133" t="s">
        <v>200</v>
      </c>
      <c r="C133">
        <v>299.38</v>
      </c>
      <c r="D133" t="s">
        <v>39</v>
      </c>
      <c r="E133" s="10">
        <v>466.134149377472</v>
      </c>
      <c r="F133" t="s">
        <v>30</v>
      </c>
      <c r="G133" s="14">
        <v>46023</v>
      </c>
      <c r="H133">
        <v>1479</v>
      </c>
      <c r="I133">
        <v>442783.02</v>
      </c>
      <c r="J133">
        <v>1853.5908995002601</v>
      </c>
      <c r="K133" t="s">
        <v>201</v>
      </c>
      <c r="L133" s="9" t="s">
        <v>202</v>
      </c>
      <c r="M133" t="s">
        <v>42</v>
      </c>
      <c r="N133" s="12">
        <v>78.503854003647973</v>
      </c>
      <c r="O133" s="13">
        <v>0.16841472376244232</v>
      </c>
      <c r="P133" s="9" t="s">
        <v>200</v>
      </c>
      <c r="Q133">
        <v>248.96</v>
      </c>
      <c r="R133">
        <v>248.96</v>
      </c>
      <c r="S133" t="s">
        <v>39</v>
      </c>
      <c r="T133">
        <v>387.63029537382403</v>
      </c>
      <c r="U133">
        <v>1924709.76</v>
      </c>
      <c r="V133">
        <v>2996769.8135350337</v>
      </c>
      <c r="W133" t="s">
        <v>30</v>
      </c>
      <c r="X133" t="s">
        <v>201</v>
      </c>
      <c r="Y133" t="s">
        <v>203</v>
      </c>
      <c r="Z133" t="b">
        <v>0</v>
      </c>
      <c r="AA133" t="s">
        <v>44</v>
      </c>
      <c r="AB133" t="s">
        <v>45</v>
      </c>
      <c r="AC133" t="s">
        <v>204</v>
      </c>
    </row>
    <row r="134" spans="2:29" x14ac:dyDescent="0.35">
      <c r="B134" t="s">
        <v>200</v>
      </c>
      <c r="C134">
        <v>722.55</v>
      </c>
      <c r="D134" t="s">
        <v>39</v>
      </c>
      <c r="E134" s="10">
        <v>1125.00911761872</v>
      </c>
      <c r="F134" t="s">
        <v>30</v>
      </c>
      <c r="G134" s="14">
        <v>46023</v>
      </c>
      <c r="H134">
        <v>16975</v>
      </c>
      <c r="I134">
        <v>12265286.25</v>
      </c>
      <c r="J134">
        <v>20389.499894502798</v>
      </c>
      <c r="K134" t="s">
        <v>201</v>
      </c>
      <c r="L134" s="9" t="s">
        <v>202</v>
      </c>
      <c r="M134" t="s">
        <v>42</v>
      </c>
      <c r="N134" s="12">
        <v>562.15423419311992</v>
      </c>
      <c r="O134" s="13">
        <v>0.49968860286485356</v>
      </c>
      <c r="P134" s="9" t="s">
        <v>200</v>
      </c>
      <c r="Q134">
        <v>361.5</v>
      </c>
      <c r="R134">
        <v>361.5</v>
      </c>
      <c r="S134" t="s">
        <v>39</v>
      </c>
      <c r="T134">
        <v>562.85488342560006</v>
      </c>
      <c r="U134">
        <v>5545771.5</v>
      </c>
      <c r="V134">
        <v>8634756.7666321304</v>
      </c>
      <c r="W134" t="s">
        <v>30</v>
      </c>
      <c r="X134" t="s">
        <v>201</v>
      </c>
      <c r="Y134" t="s">
        <v>203</v>
      </c>
      <c r="Z134" t="b">
        <v>0</v>
      </c>
      <c r="AA134" t="s">
        <v>44</v>
      </c>
      <c r="AB134" t="s">
        <v>45</v>
      </c>
      <c r="AC134" t="s">
        <v>204</v>
      </c>
    </row>
    <row r="135" spans="2:29" x14ac:dyDescent="0.35">
      <c r="B135" t="s">
        <v>200</v>
      </c>
      <c r="C135">
        <v>404.03</v>
      </c>
      <c r="D135" t="s">
        <v>39</v>
      </c>
      <c r="E135" s="10">
        <v>629.07402088643198</v>
      </c>
      <c r="F135" t="s">
        <v>30</v>
      </c>
      <c r="G135" s="14">
        <v>46023</v>
      </c>
      <c r="H135">
        <v>9377</v>
      </c>
      <c r="I135">
        <v>3788589.3099999996</v>
      </c>
      <c r="J135">
        <v>14828.727196002001</v>
      </c>
      <c r="K135" t="s">
        <v>201</v>
      </c>
      <c r="L135" s="9" t="s">
        <v>202</v>
      </c>
      <c r="M135" t="s">
        <v>42</v>
      </c>
      <c r="N135" s="12">
        <v>532.60240656540793</v>
      </c>
      <c r="O135" s="13">
        <v>0.84664505111006605</v>
      </c>
      <c r="P135" s="9" t="s">
        <v>200</v>
      </c>
      <c r="Q135">
        <v>61.96</v>
      </c>
      <c r="R135">
        <v>61.96</v>
      </c>
      <c r="S135" t="s">
        <v>39</v>
      </c>
      <c r="T135">
        <v>96.471614321024006</v>
      </c>
      <c r="U135">
        <v>525544.72</v>
      </c>
      <c r="V135">
        <v>818272.23267092567</v>
      </c>
      <c r="W135" t="s">
        <v>30</v>
      </c>
      <c r="X135" t="s">
        <v>201</v>
      </c>
      <c r="Y135" t="s">
        <v>203</v>
      </c>
      <c r="Z135" t="b">
        <v>0</v>
      </c>
      <c r="AA135" t="s">
        <v>44</v>
      </c>
      <c r="AB135" t="s">
        <v>45</v>
      </c>
      <c r="AC135" t="s">
        <v>204</v>
      </c>
    </row>
    <row r="136" spans="2:29" x14ac:dyDescent="0.35">
      <c r="B136" t="s">
        <v>205</v>
      </c>
      <c r="C136">
        <v>729.9</v>
      </c>
      <c r="D136" t="s">
        <v>39</v>
      </c>
      <c r="E136" s="10">
        <v>1136.45305508256</v>
      </c>
      <c r="F136" t="s">
        <v>30</v>
      </c>
      <c r="G136" s="14">
        <v>46023</v>
      </c>
      <c r="H136">
        <v>5082</v>
      </c>
      <c r="I136">
        <v>3709351.8</v>
      </c>
      <c r="J136">
        <v>1846.9113768172799</v>
      </c>
      <c r="K136" t="s">
        <v>201</v>
      </c>
      <c r="L136" s="9" t="s">
        <v>202</v>
      </c>
      <c r="M136" t="s">
        <v>42</v>
      </c>
      <c r="N136" s="12">
        <v>317.11384262044817</v>
      </c>
      <c r="O136" s="13">
        <v>0.27903822441430348</v>
      </c>
      <c r="P136" s="9" t="s">
        <v>205</v>
      </c>
      <c r="Q136">
        <v>933.57</v>
      </c>
      <c r="R136">
        <v>933.57</v>
      </c>
      <c r="S136" t="s">
        <v>39</v>
      </c>
      <c r="T136">
        <v>1453.5668977030082</v>
      </c>
      <c r="U136">
        <v>17062858.890000001</v>
      </c>
      <c r="V136">
        <v>26566842.189317882</v>
      </c>
      <c r="W136" t="s">
        <v>30</v>
      </c>
      <c r="X136" t="s">
        <v>201</v>
      </c>
      <c r="Y136" t="s">
        <v>206</v>
      </c>
      <c r="Z136" t="b">
        <v>0</v>
      </c>
      <c r="AA136" t="s">
        <v>44</v>
      </c>
      <c r="AB136" t="s">
        <v>45</v>
      </c>
      <c r="AC136" t="s">
        <v>158</v>
      </c>
    </row>
    <row r="137" spans="2:29" x14ac:dyDescent="0.35">
      <c r="B137" t="s">
        <v>207</v>
      </c>
      <c r="C137">
        <v>877.23</v>
      </c>
      <c r="D137" t="s">
        <v>39</v>
      </c>
      <c r="E137" s="10">
        <v>1365.845613796512</v>
      </c>
      <c r="F137" t="s">
        <v>30</v>
      </c>
      <c r="G137" s="14">
        <v>46023</v>
      </c>
      <c r="H137">
        <v>19512</v>
      </c>
      <c r="I137">
        <v>17116511.760000002</v>
      </c>
      <c r="J137">
        <v>13501.9933793609</v>
      </c>
      <c r="K137" t="s">
        <v>201</v>
      </c>
      <c r="L137" s="9" t="s">
        <v>202</v>
      </c>
      <c r="M137" t="s">
        <v>42</v>
      </c>
      <c r="N137" s="12">
        <v>1037.848353098208</v>
      </c>
      <c r="O137" s="13">
        <v>0.75985773400362511</v>
      </c>
      <c r="P137" s="9" t="s">
        <v>207</v>
      </c>
      <c r="Q137">
        <v>210.66</v>
      </c>
      <c r="R137">
        <v>210.66</v>
      </c>
      <c r="S137" t="s">
        <v>39</v>
      </c>
      <c r="T137">
        <v>327.99726069830399</v>
      </c>
      <c r="U137">
        <v>982518.24</v>
      </c>
      <c r="V137">
        <v>1529779.2238968897</v>
      </c>
      <c r="W137" t="s">
        <v>30</v>
      </c>
      <c r="X137" t="s">
        <v>201</v>
      </c>
      <c r="Y137" t="s">
        <v>208</v>
      </c>
      <c r="Z137" t="b">
        <v>0</v>
      </c>
      <c r="AA137" t="s">
        <v>44</v>
      </c>
      <c r="AB137" t="s">
        <v>45</v>
      </c>
      <c r="AC137" t="s">
        <v>158</v>
      </c>
    </row>
    <row r="138" spans="2:29" x14ac:dyDescent="0.35">
      <c r="B138" t="s">
        <v>209</v>
      </c>
      <c r="C138">
        <v>658.84</v>
      </c>
      <c r="D138" t="s">
        <v>179</v>
      </c>
      <c r="E138" s="10">
        <v>658.84</v>
      </c>
      <c r="F138" t="s">
        <v>30</v>
      </c>
      <c r="G138" s="14">
        <v>46023</v>
      </c>
      <c r="H138">
        <v>14171</v>
      </c>
      <c r="I138">
        <v>9336421.6400000006</v>
      </c>
      <c r="J138">
        <v>55824.228999999999</v>
      </c>
      <c r="K138" t="s">
        <v>210</v>
      </c>
      <c r="L138" s="9" t="s">
        <v>211</v>
      </c>
      <c r="M138" t="s">
        <v>33</v>
      </c>
      <c r="N138" s="12">
        <v>607.14</v>
      </c>
      <c r="O138" s="13">
        <v>0.92152874749559821</v>
      </c>
      <c r="P138" s="9" t="s">
        <v>209</v>
      </c>
      <c r="Q138">
        <v>51.7</v>
      </c>
      <c r="R138">
        <v>51.7</v>
      </c>
      <c r="S138" t="s">
        <v>179</v>
      </c>
      <c r="T138">
        <v>51.7</v>
      </c>
      <c r="U138">
        <v>671893.20000000007</v>
      </c>
      <c r="V138">
        <v>671893.20000000007</v>
      </c>
      <c r="W138" t="s">
        <v>30</v>
      </c>
      <c r="X138" t="s">
        <v>210</v>
      </c>
      <c r="Y138" t="s">
        <v>212</v>
      </c>
      <c r="Z138" t="b">
        <v>0</v>
      </c>
      <c r="AA138" t="s">
        <v>44</v>
      </c>
      <c r="AB138" t="s">
        <v>36</v>
      </c>
      <c r="AC138" t="s">
        <v>187</v>
      </c>
    </row>
    <row r="139" spans="2:29" x14ac:dyDescent="0.35">
      <c r="B139" t="s">
        <v>213</v>
      </c>
      <c r="C139">
        <v>261.55</v>
      </c>
      <c r="D139" t="s">
        <v>179</v>
      </c>
      <c r="E139" s="10">
        <v>261.55</v>
      </c>
      <c r="F139" t="s">
        <v>30</v>
      </c>
      <c r="G139" s="14">
        <v>46023</v>
      </c>
      <c r="H139">
        <v>1036</v>
      </c>
      <c r="I139">
        <v>270965.8</v>
      </c>
      <c r="J139">
        <v>6910</v>
      </c>
      <c r="K139" t="s">
        <v>210</v>
      </c>
      <c r="L139" s="9" t="s">
        <v>211</v>
      </c>
      <c r="M139" t="s">
        <v>33</v>
      </c>
      <c r="N139" s="12">
        <v>215.06</v>
      </c>
      <c r="O139" s="13">
        <v>0.82225195947237617</v>
      </c>
      <c r="P139" s="9" t="s">
        <v>213</v>
      </c>
      <c r="Q139">
        <v>46.49</v>
      </c>
      <c r="R139">
        <v>46.49</v>
      </c>
      <c r="S139" t="s">
        <v>179</v>
      </c>
      <c r="T139">
        <v>46.49</v>
      </c>
      <c r="U139">
        <v>556531.79</v>
      </c>
      <c r="V139">
        <v>556531.79</v>
      </c>
      <c r="W139" t="s">
        <v>30</v>
      </c>
      <c r="X139" t="s">
        <v>210</v>
      </c>
      <c r="Y139" t="s">
        <v>214</v>
      </c>
      <c r="Z139" t="b">
        <v>0</v>
      </c>
      <c r="AA139" t="s">
        <v>44</v>
      </c>
      <c r="AB139" t="s">
        <v>36</v>
      </c>
      <c r="AC139" t="s">
        <v>187</v>
      </c>
    </row>
    <row r="140" spans="2:29" x14ac:dyDescent="0.35">
      <c r="B140" t="s">
        <v>213</v>
      </c>
      <c r="C140">
        <v>36.14</v>
      </c>
      <c r="D140" t="s">
        <v>179</v>
      </c>
      <c r="E140" s="10">
        <v>36.14</v>
      </c>
      <c r="F140" t="s">
        <v>30</v>
      </c>
      <c r="G140" s="14">
        <v>46023</v>
      </c>
      <c r="H140">
        <v>10850</v>
      </c>
      <c r="I140">
        <v>392119</v>
      </c>
      <c r="J140">
        <v>20730</v>
      </c>
      <c r="K140" t="s">
        <v>210</v>
      </c>
      <c r="L140" s="9" t="s">
        <v>211</v>
      </c>
      <c r="M140" t="s">
        <v>33</v>
      </c>
      <c r="N140" s="12">
        <v>919.92</v>
      </c>
      <c r="O140" s="13">
        <v>25.454344216934143</v>
      </c>
      <c r="P140" s="9" t="s">
        <v>213</v>
      </c>
      <c r="Q140">
        <v>956.06</v>
      </c>
      <c r="R140">
        <v>956.06</v>
      </c>
      <c r="S140" t="s">
        <v>179</v>
      </c>
      <c r="T140">
        <v>956.06</v>
      </c>
      <c r="U140">
        <v>6399865.6399999997</v>
      </c>
      <c r="V140">
        <v>6399865.6399999997</v>
      </c>
      <c r="W140" t="s">
        <v>30</v>
      </c>
      <c r="X140" t="s">
        <v>210</v>
      </c>
      <c r="Y140" t="s">
        <v>214</v>
      </c>
      <c r="Z140" t="b">
        <v>0</v>
      </c>
      <c r="AA140" t="s">
        <v>44</v>
      </c>
      <c r="AB140" t="s">
        <v>36</v>
      </c>
      <c r="AC140" t="s">
        <v>187</v>
      </c>
    </row>
    <row r="141" spans="2:29" x14ac:dyDescent="0.35">
      <c r="B141" t="s">
        <v>215</v>
      </c>
      <c r="C141">
        <v>877.28</v>
      </c>
      <c r="D141" t="s">
        <v>179</v>
      </c>
      <c r="E141" s="10">
        <v>877.28</v>
      </c>
      <c r="F141" t="s">
        <v>30</v>
      </c>
      <c r="G141" s="14">
        <v>46023</v>
      </c>
      <c r="H141">
        <v>15656</v>
      </c>
      <c r="I141">
        <v>13734695.68</v>
      </c>
      <c r="J141">
        <v>4627.3999999999996</v>
      </c>
      <c r="K141" t="s">
        <v>210</v>
      </c>
      <c r="L141" s="9" t="s">
        <v>211</v>
      </c>
      <c r="M141" t="s">
        <v>33</v>
      </c>
      <c r="N141" s="12">
        <v>609.89</v>
      </c>
      <c r="O141" s="13">
        <v>0.69520563560094839</v>
      </c>
      <c r="P141" s="9" t="s">
        <v>215</v>
      </c>
      <c r="Q141">
        <v>267.39</v>
      </c>
      <c r="R141">
        <v>267.39</v>
      </c>
      <c r="S141" t="s">
        <v>179</v>
      </c>
      <c r="T141">
        <v>267.39</v>
      </c>
      <c r="U141">
        <v>1950610.0499999998</v>
      </c>
      <c r="V141">
        <v>1950610.0499999998</v>
      </c>
      <c r="W141" t="s">
        <v>30</v>
      </c>
      <c r="X141" t="s">
        <v>210</v>
      </c>
      <c r="Y141" t="s">
        <v>186</v>
      </c>
      <c r="Z141" t="b">
        <v>0</v>
      </c>
      <c r="AA141" t="s">
        <v>44</v>
      </c>
      <c r="AB141" t="s">
        <v>36</v>
      </c>
      <c r="AC141" t="s">
        <v>187</v>
      </c>
    </row>
    <row r="142" spans="2:29" x14ac:dyDescent="0.35">
      <c r="B142" t="s">
        <v>216</v>
      </c>
      <c r="C142">
        <v>780.28</v>
      </c>
      <c r="D142" t="s">
        <v>39</v>
      </c>
      <c r="E142" s="10">
        <v>1214.8946291544321</v>
      </c>
      <c r="F142" t="s">
        <v>30</v>
      </c>
      <c r="G142" s="14">
        <v>46023</v>
      </c>
      <c r="H142">
        <v>9472</v>
      </c>
      <c r="I142">
        <v>7390812.1600000001</v>
      </c>
      <c r="J142">
        <v>145078.29847526201</v>
      </c>
      <c r="K142" t="s">
        <v>217</v>
      </c>
      <c r="L142" s="9" t="s">
        <v>218</v>
      </c>
      <c r="M142" t="s">
        <v>42</v>
      </c>
      <c r="N142" s="12">
        <v>984.8481311568321</v>
      </c>
      <c r="O142" s="13">
        <v>0.8106448967037474</v>
      </c>
      <c r="P142" s="9" t="s">
        <v>216</v>
      </c>
      <c r="Q142">
        <v>147.75</v>
      </c>
      <c r="R142">
        <v>147.75</v>
      </c>
      <c r="S142" t="s">
        <v>39</v>
      </c>
      <c r="T142">
        <v>230.0464979976</v>
      </c>
      <c r="U142">
        <v>731362.5</v>
      </c>
      <c r="V142">
        <v>1138730.1650881199</v>
      </c>
      <c r="W142" t="s">
        <v>219</v>
      </c>
      <c r="X142" t="s">
        <v>217</v>
      </c>
      <c r="Y142" t="s">
        <v>220</v>
      </c>
      <c r="Z142" t="b">
        <v>0</v>
      </c>
      <c r="AA142" t="s">
        <v>44</v>
      </c>
      <c r="AB142" t="s">
        <v>45</v>
      </c>
      <c r="AC142" t="s">
        <v>221</v>
      </c>
    </row>
    <row r="143" spans="2:29" x14ac:dyDescent="0.35">
      <c r="B143" t="s">
        <v>222</v>
      </c>
      <c r="C143">
        <v>515.82000000000005</v>
      </c>
      <c r="D143" t="s">
        <v>71</v>
      </c>
      <c r="E143" s="10">
        <v>5740.7148680715909</v>
      </c>
      <c r="F143" t="s">
        <v>30</v>
      </c>
      <c r="G143" s="14">
        <v>46023</v>
      </c>
      <c r="H143">
        <v>3242</v>
      </c>
      <c r="I143">
        <v>1672288.4400000002</v>
      </c>
      <c r="J143">
        <v>114451.03705106401</v>
      </c>
      <c r="K143" t="s">
        <v>223</v>
      </c>
      <c r="L143" s="9" t="s">
        <v>224</v>
      </c>
      <c r="M143" t="s">
        <v>42</v>
      </c>
      <c r="N143" s="12">
        <v>4833.3431430631063</v>
      </c>
      <c r="O143" s="13">
        <v>0.8419409871660658</v>
      </c>
      <c r="P143" s="9" t="s">
        <v>222</v>
      </c>
      <c r="Q143">
        <v>81.53</v>
      </c>
      <c r="R143">
        <v>81.53</v>
      </c>
      <c r="S143" t="s">
        <v>71</v>
      </c>
      <c r="T143">
        <v>907.37172500848499</v>
      </c>
      <c r="U143">
        <v>1268688.33</v>
      </c>
      <c r="V143">
        <v>14119611.412857035</v>
      </c>
      <c r="W143" t="s">
        <v>30</v>
      </c>
      <c r="X143" t="s">
        <v>223</v>
      </c>
      <c r="Y143" t="s">
        <v>225</v>
      </c>
      <c r="Z143" t="b">
        <v>0</v>
      </c>
      <c r="AA143" t="s">
        <v>44</v>
      </c>
      <c r="AB143" t="s">
        <v>36</v>
      </c>
      <c r="AC143" t="s">
        <v>226</v>
      </c>
    </row>
    <row r="144" spans="2:29" x14ac:dyDescent="0.35">
      <c r="B144" t="s">
        <v>222</v>
      </c>
      <c r="C144">
        <v>392.79</v>
      </c>
      <c r="D144" t="s">
        <v>71</v>
      </c>
      <c r="E144" s="10">
        <v>4371.4772459963551</v>
      </c>
      <c r="F144" t="s">
        <v>30</v>
      </c>
      <c r="G144" s="14">
        <v>46023</v>
      </c>
      <c r="H144">
        <v>394</v>
      </c>
      <c r="I144">
        <v>154759.26</v>
      </c>
      <c r="J144">
        <v>153430.73807570199</v>
      </c>
      <c r="K144" t="s">
        <v>223</v>
      </c>
      <c r="L144" s="9" t="s">
        <v>224</v>
      </c>
      <c r="M144" t="s">
        <v>42</v>
      </c>
      <c r="N144" s="12">
        <v>3387.7585317378002</v>
      </c>
      <c r="O144" s="13">
        <v>0.77496881285165109</v>
      </c>
      <c r="P144" s="9" t="s">
        <v>222</v>
      </c>
      <c r="Q144">
        <v>88.39</v>
      </c>
      <c r="R144">
        <v>88.39</v>
      </c>
      <c r="S144" t="s">
        <v>71</v>
      </c>
      <c r="T144">
        <v>983.718714258555</v>
      </c>
      <c r="U144">
        <v>841296.02</v>
      </c>
      <c r="V144">
        <v>9363034.7223129272</v>
      </c>
      <c r="W144" t="s">
        <v>30</v>
      </c>
      <c r="X144" t="s">
        <v>223</v>
      </c>
      <c r="Y144" t="s">
        <v>225</v>
      </c>
      <c r="Z144" t="b">
        <v>0</v>
      </c>
      <c r="AA144" t="s">
        <v>44</v>
      </c>
      <c r="AB144" t="s">
        <v>36</v>
      </c>
      <c r="AC144" t="s">
        <v>226</v>
      </c>
    </row>
    <row r="145" spans="2:29" x14ac:dyDescent="0.35">
      <c r="B145" t="s">
        <v>227</v>
      </c>
      <c r="C145">
        <v>520.57000000000005</v>
      </c>
      <c r="D145" t="s">
        <v>71</v>
      </c>
      <c r="E145" s="10">
        <v>5793.5790370129653</v>
      </c>
      <c r="F145" t="s">
        <v>30</v>
      </c>
      <c r="G145" s="14">
        <v>46023</v>
      </c>
      <c r="H145">
        <v>16248</v>
      </c>
      <c r="I145">
        <v>8458221.3600000013</v>
      </c>
      <c r="J145">
        <v>11752.539453072</v>
      </c>
      <c r="K145" t="s">
        <v>223</v>
      </c>
      <c r="L145" s="9" t="s">
        <v>224</v>
      </c>
      <c r="M145" t="s">
        <v>42</v>
      </c>
      <c r="N145" s="12">
        <v>313.06717312018554</v>
      </c>
      <c r="O145" s="13">
        <v>5.4036921067291716E-2</v>
      </c>
      <c r="P145" s="9" t="s">
        <v>227</v>
      </c>
      <c r="Q145">
        <v>548.70000000000005</v>
      </c>
      <c r="R145">
        <v>548.70000000000005</v>
      </c>
      <c r="S145" t="s">
        <v>71</v>
      </c>
      <c r="T145">
        <v>6106.6462101331508</v>
      </c>
      <c r="U145">
        <v>9409656.3000000007</v>
      </c>
      <c r="V145">
        <v>104722875.8575734</v>
      </c>
      <c r="W145" t="s">
        <v>30</v>
      </c>
      <c r="X145" t="s">
        <v>223</v>
      </c>
      <c r="Y145" t="s">
        <v>228</v>
      </c>
      <c r="Z145" t="b">
        <v>0</v>
      </c>
      <c r="AA145" t="s">
        <v>44</v>
      </c>
      <c r="AB145" t="s">
        <v>36</v>
      </c>
      <c r="AC145" t="s">
        <v>226</v>
      </c>
    </row>
    <row r="146" spans="2:29" x14ac:dyDescent="0.35">
      <c r="B146" t="s">
        <v>229</v>
      </c>
      <c r="C146">
        <v>923.29</v>
      </c>
      <c r="D146" t="s">
        <v>71</v>
      </c>
      <c r="E146" s="10">
        <v>10275.570219343605</v>
      </c>
      <c r="F146" t="s">
        <v>30</v>
      </c>
      <c r="G146" s="14">
        <v>46023</v>
      </c>
      <c r="H146">
        <v>15780</v>
      </c>
      <c r="I146">
        <v>14569516.199999999</v>
      </c>
      <c r="J146">
        <v>23683.147685735999</v>
      </c>
      <c r="K146" t="s">
        <v>223</v>
      </c>
      <c r="L146" s="9" t="s">
        <v>224</v>
      </c>
      <c r="M146" t="s">
        <v>42</v>
      </c>
      <c r="N146" s="12">
        <v>7486.9018379456393</v>
      </c>
      <c r="O146" s="13">
        <v>0.72861181210670534</v>
      </c>
      <c r="P146" s="9" t="s">
        <v>229</v>
      </c>
      <c r="Q146">
        <v>250.57</v>
      </c>
      <c r="R146">
        <v>250.57</v>
      </c>
      <c r="S146" t="s">
        <v>71</v>
      </c>
      <c r="T146">
        <v>2788.6683813979648</v>
      </c>
      <c r="U146">
        <v>1473351.5999999999</v>
      </c>
      <c r="V146">
        <v>16397370.082620034</v>
      </c>
      <c r="W146" t="s">
        <v>30</v>
      </c>
      <c r="X146" t="s">
        <v>223</v>
      </c>
      <c r="Y146" t="s">
        <v>230</v>
      </c>
      <c r="Z146" t="b">
        <v>0</v>
      </c>
      <c r="AA146" t="s">
        <v>44</v>
      </c>
      <c r="AB146" t="s">
        <v>36</v>
      </c>
      <c r="AC146" t="s">
        <v>231</v>
      </c>
    </row>
    <row r="147" spans="2:29" x14ac:dyDescent="0.35">
      <c r="B147" t="s">
        <v>229</v>
      </c>
      <c r="C147">
        <v>809.26</v>
      </c>
      <c r="D147" t="s">
        <v>71</v>
      </c>
      <c r="E147" s="10">
        <v>9006.4962857888695</v>
      </c>
      <c r="F147" t="s">
        <v>30</v>
      </c>
      <c r="G147" s="14">
        <v>46023</v>
      </c>
      <c r="H147">
        <v>13498</v>
      </c>
      <c r="I147">
        <v>10923391.48</v>
      </c>
      <c r="J147">
        <v>27066.454497983999</v>
      </c>
      <c r="K147" t="s">
        <v>223</v>
      </c>
      <c r="L147" s="9" t="s">
        <v>224</v>
      </c>
      <c r="M147" t="s">
        <v>42</v>
      </c>
      <c r="N147" s="12">
        <v>6498.6201112100389</v>
      </c>
      <c r="O147" s="13">
        <v>0.72154808096285483</v>
      </c>
      <c r="P147" s="9" t="s">
        <v>229</v>
      </c>
      <c r="Q147">
        <v>225.34</v>
      </c>
      <c r="R147">
        <v>225.34</v>
      </c>
      <c r="S147" t="s">
        <v>71</v>
      </c>
      <c r="T147">
        <v>2507.8761745788302</v>
      </c>
      <c r="U147">
        <v>316602.7</v>
      </c>
      <c r="V147">
        <v>3523566.0252832565</v>
      </c>
      <c r="W147" t="s">
        <v>30</v>
      </c>
      <c r="X147" t="s">
        <v>223</v>
      </c>
      <c r="Y147" t="s">
        <v>230</v>
      </c>
      <c r="Z147" t="b">
        <v>0</v>
      </c>
      <c r="AA147" t="s">
        <v>44</v>
      </c>
      <c r="AB147" t="s">
        <v>36</v>
      </c>
      <c r="AC147" t="s">
        <v>231</v>
      </c>
    </row>
    <row r="148" spans="2:29" x14ac:dyDescent="0.35">
      <c r="B148" t="s">
        <v>232</v>
      </c>
      <c r="C148">
        <v>340.04</v>
      </c>
      <c r="D148" t="s">
        <v>71</v>
      </c>
      <c r="E148" s="10">
        <v>3784.4067382789804</v>
      </c>
      <c r="F148" t="s">
        <v>30</v>
      </c>
      <c r="G148" s="14">
        <v>46023</v>
      </c>
      <c r="H148">
        <v>8289</v>
      </c>
      <c r="I148">
        <v>2818591.56</v>
      </c>
      <c r="J148">
        <v>8235.6810561300008</v>
      </c>
      <c r="K148" t="s">
        <v>223</v>
      </c>
      <c r="L148" s="9" t="s">
        <v>224</v>
      </c>
      <c r="M148" t="s">
        <v>42</v>
      </c>
      <c r="N148" s="12">
        <v>4666.7375411573394</v>
      </c>
      <c r="O148" s="13">
        <v>1.2331490412892598</v>
      </c>
      <c r="P148" s="9" t="s">
        <v>232</v>
      </c>
      <c r="Q148">
        <v>759.36</v>
      </c>
      <c r="R148">
        <v>759.36</v>
      </c>
      <c r="S148" t="s">
        <v>71</v>
      </c>
      <c r="T148">
        <v>8451.1442794363193</v>
      </c>
      <c r="U148">
        <v>12522605.76</v>
      </c>
      <c r="V148">
        <v>139367820.31218433</v>
      </c>
      <c r="W148" t="s">
        <v>30</v>
      </c>
      <c r="X148" t="s">
        <v>223</v>
      </c>
      <c r="Y148" t="s">
        <v>233</v>
      </c>
      <c r="Z148" t="b">
        <v>0</v>
      </c>
      <c r="AA148" t="s">
        <v>44</v>
      </c>
      <c r="AB148" t="s">
        <v>36</v>
      </c>
      <c r="AC148" t="s">
        <v>234</v>
      </c>
    </row>
    <row r="149" spans="2:29" x14ac:dyDescent="0.35">
      <c r="B149" t="s">
        <v>232</v>
      </c>
      <c r="C149">
        <v>787.63</v>
      </c>
      <c r="D149" t="s">
        <v>71</v>
      </c>
      <c r="E149" s="10">
        <v>8765.7695543779355</v>
      </c>
      <c r="F149" t="s">
        <v>30</v>
      </c>
      <c r="G149" s="14">
        <v>46023</v>
      </c>
      <c r="H149">
        <v>17436</v>
      </c>
      <c r="I149">
        <v>13733116.68</v>
      </c>
      <c r="J149">
        <v>16471.362112260002</v>
      </c>
      <c r="K149" t="s">
        <v>223</v>
      </c>
      <c r="L149" s="9" t="s">
        <v>224</v>
      </c>
      <c r="M149" t="s">
        <v>42</v>
      </c>
      <c r="N149" s="12">
        <v>6776.5187003608053</v>
      </c>
      <c r="O149" s="13">
        <v>0.77306603354366898</v>
      </c>
      <c r="P149" s="9" t="s">
        <v>232</v>
      </c>
      <c r="Q149">
        <v>178.74</v>
      </c>
      <c r="R149">
        <v>178.74</v>
      </c>
      <c r="S149" t="s">
        <v>71</v>
      </c>
      <c r="T149">
        <v>1989.25085401713</v>
      </c>
      <c r="U149">
        <v>1194340.6800000002</v>
      </c>
      <c r="V149">
        <v>13292174.206542462</v>
      </c>
      <c r="W149" t="s">
        <v>30</v>
      </c>
      <c r="X149" t="s">
        <v>223</v>
      </c>
      <c r="Y149" t="s">
        <v>233</v>
      </c>
      <c r="Z149" t="b">
        <v>0</v>
      </c>
      <c r="AA149" t="s">
        <v>44</v>
      </c>
      <c r="AB149" t="s">
        <v>36</v>
      </c>
      <c r="AC149" t="s">
        <v>234</v>
      </c>
    </row>
    <row r="150" spans="2:29" x14ac:dyDescent="0.35">
      <c r="B150" t="s">
        <v>235</v>
      </c>
      <c r="C150">
        <v>157.08000000000001</v>
      </c>
      <c r="D150" t="s">
        <v>71</v>
      </c>
      <c r="E150" s="10">
        <v>1748.1902436444602</v>
      </c>
      <c r="F150" t="s">
        <v>30</v>
      </c>
      <c r="G150" s="14">
        <v>46023</v>
      </c>
      <c r="H150">
        <v>15583</v>
      </c>
      <c r="I150">
        <v>2447777.64</v>
      </c>
      <c r="J150">
        <v>21368.253551040001</v>
      </c>
      <c r="K150" t="s">
        <v>223</v>
      </c>
      <c r="L150" s="9" t="s">
        <v>224</v>
      </c>
      <c r="M150" t="s">
        <v>42</v>
      </c>
      <c r="N150" s="12">
        <v>3519.6407216231241</v>
      </c>
      <c r="O150" s="13">
        <v>2.0133053221288506</v>
      </c>
      <c r="P150" s="9" t="s">
        <v>235</v>
      </c>
      <c r="Q150">
        <v>473.33</v>
      </c>
      <c r="R150">
        <v>473.33</v>
      </c>
      <c r="S150" t="s">
        <v>71</v>
      </c>
      <c r="T150">
        <v>5267.8309652675844</v>
      </c>
      <c r="U150">
        <v>7313421.8300000001</v>
      </c>
      <c r="V150">
        <v>81393256.24434945</v>
      </c>
      <c r="W150" t="s">
        <v>30</v>
      </c>
      <c r="X150" t="s">
        <v>223</v>
      </c>
      <c r="Y150" t="s">
        <v>236</v>
      </c>
      <c r="Z150" t="b">
        <v>0</v>
      </c>
      <c r="AA150" t="s">
        <v>44</v>
      </c>
      <c r="AB150" t="s">
        <v>36</v>
      </c>
      <c r="AC150" t="s">
        <v>226</v>
      </c>
    </row>
    <row r="151" spans="2:29" x14ac:dyDescent="0.35">
      <c r="B151" t="s">
        <v>237</v>
      </c>
      <c r="C151">
        <v>282.39999999999998</v>
      </c>
      <c r="D151" t="s">
        <v>71</v>
      </c>
      <c r="E151" s="10">
        <v>3142.9139597987996</v>
      </c>
      <c r="F151" t="s">
        <v>30</v>
      </c>
      <c r="G151" s="14">
        <v>46023</v>
      </c>
      <c r="H151">
        <v>16556</v>
      </c>
      <c r="I151">
        <v>4675414.3999999994</v>
      </c>
      <c r="J151">
        <v>562652.82631582196</v>
      </c>
      <c r="K151" t="s">
        <v>238</v>
      </c>
      <c r="L151" s="9" t="s">
        <v>239</v>
      </c>
      <c r="M151" t="s">
        <v>42</v>
      </c>
      <c r="N151" s="12">
        <v>1347.3129035879697</v>
      </c>
      <c r="O151" s="13">
        <v>0.42868271954674214</v>
      </c>
      <c r="P151" s="9" t="s">
        <v>237</v>
      </c>
      <c r="Q151">
        <v>161.34</v>
      </c>
      <c r="R151">
        <v>161.34</v>
      </c>
      <c r="S151" t="s">
        <v>71</v>
      </c>
      <c r="T151">
        <v>1795.6010562108299</v>
      </c>
      <c r="U151">
        <v>2348787.7200000002</v>
      </c>
      <c r="V151">
        <v>26140360.176317263</v>
      </c>
      <c r="W151" t="s">
        <v>30</v>
      </c>
      <c r="X151" t="s">
        <v>238</v>
      </c>
      <c r="Y151" t="s">
        <v>225</v>
      </c>
      <c r="Z151" t="b">
        <v>0</v>
      </c>
      <c r="AA151" t="s">
        <v>44</v>
      </c>
      <c r="AB151" t="s">
        <v>36</v>
      </c>
      <c r="AC151" t="s">
        <v>231</v>
      </c>
    </row>
    <row r="152" spans="2:29" x14ac:dyDescent="0.35">
      <c r="B152" t="s">
        <v>47</v>
      </c>
      <c r="C152">
        <v>324.72000000000003</v>
      </c>
      <c r="D152" t="s">
        <v>29</v>
      </c>
      <c r="E152" s="10">
        <v>3016.8963990000002</v>
      </c>
      <c r="F152" t="s">
        <v>30</v>
      </c>
      <c r="G152" s="14">
        <v>46023</v>
      </c>
      <c r="H152">
        <v>3213</v>
      </c>
      <c r="I152">
        <v>1043325.3600000001</v>
      </c>
      <c r="J152">
        <v>78666.74424</v>
      </c>
      <c r="K152" t="s">
        <v>48</v>
      </c>
      <c r="L152" s="9" t="s">
        <v>49</v>
      </c>
      <c r="M152" t="s">
        <v>50</v>
      </c>
      <c r="N152" s="12">
        <v>4334.0477986249998</v>
      </c>
      <c r="O152" s="13">
        <v>1.4365915250061589</v>
      </c>
      <c r="P152" s="9" t="s">
        <v>47</v>
      </c>
      <c r="Q152">
        <v>791.21</v>
      </c>
      <c r="R152">
        <v>791.21</v>
      </c>
      <c r="S152" t="s">
        <v>29</v>
      </c>
      <c r="T152">
        <v>7350.944197625</v>
      </c>
      <c r="U152">
        <v>1840354.4600000002</v>
      </c>
      <c r="V152">
        <v>17098296.203675751</v>
      </c>
      <c r="W152" t="s">
        <v>30</v>
      </c>
      <c r="X152" t="s">
        <v>48</v>
      </c>
      <c r="Y152" t="s">
        <v>51</v>
      </c>
      <c r="Z152" t="b">
        <v>0</v>
      </c>
      <c r="AA152" t="s">
        <v>35</v>
      </c>
      <c r="AB152" t="s">
        <v>36</v>
      </c>
      <c r="AC152" t="s">
        <v>52</v>
      </c>
    </row>
    <row r="153" spans="2:29" x14ac:dyDescent="0.35">
      <c r="B153" t="s">
        <v>47</v>
      </c>
      <c r="C153">
        <v>461.23</v>
      </c>
      <c r="D153" t="s">
        <v>29</v>
      </c>
      <c r="E153" s="10">
        <v>4285.1783878750002</v>
      </c>
      <c r="F153" t="s">
        <v>30</v>
      </c>
      <c r="G153" s="14">
        <v>46023</v>
      </c>
      <c r="H153">
        <v>7753</v>
      </c>
      <c r="I153">
        <v>3575916.19</v>
      </c>
      <c r="J153">
        <v>157333.48848</v>
      </c>
      <c r="K153" t="s">
        <v>48</v>
      </c>
      <c r="L153" s="9" t="s">
        <v>49</v>
      </c>
      <c r="M153" t="s">
        <v>50</v>
      </c>
      <c r="N153" s="12">
        <v>3454.1196822499996</v>
      </c>
      <c r="O153" s="13">
        <v>0.80606205147106635</v>
      </c>
      <c r="P153" s="9" t="s">
        <v>47</v>
      </c>
      <c r="Q153">
        <v>833.01</v>
      </c>
      <c r="R153">
        <v>833.01</v>
      </c>
      <c r="S153" t="s">
        <v>29</v>
      </c>
      <c r="T153">
        <v>7739.2980701249999</v>
      </c>
      <c r="U153">
        <v>12316052.85</v>
      </c>
      <c r="V153">
        <v>114425521.96679813</v>
      </c>
      <c r="W153" t="s">
        <v>30</v>
      </c>
      <c r="X153" t="s">
        <v>48</v>
      </c>
      <c r="Y153" t="s">
        <v>51</v>
      </c>
      <c r="Z153" t="b">
        <v>0</v>
      </c>
      <c r="AA153" t="s">
        <v>35</v>
      </c>
      <c r="AB153" t="s">
        <v>36</v>
      </c>
      <c r="AC153" t="s">
        <v>52</v>
      </c>
    </row>
    <row r="154" spans="2:29" x14ac:dyDescent="0.35">
      <c r="B154" t="s">
        <v>240</v>
      </c>
      <c r="C154">
        <v>159.62</v>
      </c>
      <c r="D154" t="s">
        <v>39</v>
      </c>
      <c r="E154" s="10">
        <v>248.52806775212801</v>
      </c>
      <c r="F154" t="s">
        <v>30</v>
      </c>
      <c r="G154" s="14">
        <v>46023</v>
      </c>
      <c r="H154">
        <v>18263</v>
      </c>
      <c r="I154">
        <v>2915140.06</v>
      </c>
      <c r="J154">
        <v>3805.9266308313599</v>
      </c>
      <c r="K154" t="s">
        <v>241</v>
      </c>
      <c r="L154" s="9" t="s">
        <v>242</v>
      </c>
      <c r="M154" t="s">
        <v>50</v>
      </c>
      <c r="N154" s="12">
        <v>512.01888911344008</v>
      </c>
      <c r="O154" s="13">
        <v>2.060205488034081</v>
      </c>
      <c r="P154" s="9" t="s">
        <v>240</v>
      </c>
      <c r="Q154">
        <v>488.47</v>
      </c>
      <c r="R154">
        <v>488.47</v>
      </c>
      <c r="S154" t="s">
        <v>39</v>
      </c>
      <c r="T154">
        <v>760.54695686556806</v>
      </c>
      <c r="U154">
        <v>5303807.2600000007</v>
      </c>
      <c r="V154">
        <v>8258018.8576463377</v>
      </c>
      <c r="W154" t="s">
        <v>30</v>
      </c>
      <c r="X154" t="s">
        <v>243</v>
      </c>
      <c r="Y154" t="s">
        <v>244</v>
      </c>
      <c r="Z154" t="b">
        <v>0</v>
      </c>
      <c r="AB154" t="s">
        <v>45</v>
      </c>
      <c r="AC154" t="s">
        <v>245</v>
      </c>
    </row>
    <row r="155" spans="2:29" x14ac:dyDescent="0.35">
      <c r="B155" t="s">
        <v>246</v>
      </c>
      <c r="C155">
        <v>975.27</v>
      </c>
      <c r="D155" t="s">
        <v>39</v>
      </c>
      <c r="E155" s="10">
        <v>1518.4937265794881</v>
      </c>
      <c r="F155" t="s">
        <v>30</v>
      </c>
      <c r="G155" s="14">
        <v>46023</v>
      </c>
      <c r="H155">
        <v>19268</v>
      </c>
      <c r="I155">
        <v>18791502.359999999</v>
      </c>
      <c r="J155">
        <v>1844.10877988736</v>
      </c>
      <c r="K155" t="s">
        <v>247</v>
      </c>
      <c r="L155" s="9" t="s">
        <v>248</v>
      </c>
      <c r="M155" t="s">
        <v>50</v>
      </c>
      <c r="N155" s="12">
        <v>129.66681795763202</v>
      </c>
      <c r="O155" s="13">
        <v>8.5391737672644505E-2</v>
      </c>
      <c r="P155" s="9" t="s">
        <v>246</v>
      </c>
      <c r="Q155">
        <v>891.99</v>
      </c>
      <c r="R155">
        <v>8.9199000000000002</v>
      </c>
      <c r="S155" t="s">
        <v>39</v>
      </c>
      <c r="T155">
        <v>1388.8269086218561</v>
      </c>
      <c r="U155">
        <v>4488493.68</v>
      </c>
      <c r="V155">
        <v>6988577.0041851802</v>
      </c>
      <c r="W155" t="s">
        <v>249</v>
      </c>
      <c r="X155" t="s">
        <v>247</v>
      </c>
      <c r="Y155" t="s">
        <v>250</v>
      </c>
      <c r="Z155" t="b">
        <v>0</v>
      </c>
      <c r="AA155" t="s">
        <v>44</v>
      </c>
      <c r="AB155" t="s">
        <v>45</v>
      </c>
      <c r="AC155" t="s">
        <v>251</v>
      </c>
    </row>
    <row r="156" spans="2:29" x14ac:dyDescent="0.35">
      <c r="B156" t="s">
        <v>252</v>
      </c>
      <c r="C156">
        <v>235.92</v>
      </c>
      <c r="D156" t="s">
        <v>71</v>
      </c>
      <c r="E156" s="10">
        <v>2625.62415508404</v>
      </c>
      <c r="F156" t="s">
        <v>30</v>
      </c>
      <c r="G156" s="14">
        <v>46023</v>
      </c>
      <c r="H156">
        <v>6232</v>
      </c>
      <c r="I156">
        <v>1470253.44</v>
      </c>
      <c r="J156">
        <v>143033.74720727399</v>
      </c>
      <c r="K156" t="s">
        <v>253</v>
      </c>
      <c r="L156" s="9" t="s">
        <v>254</v>
      </c>
      <c r="M156" t="s">
        <v>42</v>
      </c>
      <c r="N156" s="12">
        <v>2118.7958911703099</v>
      </c>
      <c r="O156" s="13">
        <v>0.80696846388606303</v>
      </c>
      <c r="P156" s="9" t="s">
        <v>252</v>
      </c>
      <c r="Q156">
        <v>45.54</v>
      </c>
      <c r="R156">
        <v>45.54</v>
      </c>
      <c r="S156" t="s">
        <v>71</v>
      </c>
      <c r="T156">
        <v>506.82826391372998</v>
      </c>
      <c r="U156">
        <v>332669.7</v>
      </c>
      <c r="V156">
        <v>3702380.4678897974</v>
      </c>
      <c r="W156" t="s">
        <v>219</v>
      </c>
      <c r="X156" t="s">
        <v>253</v>
      </c>
      <c r="Y156" t="s">
        <v>255</v>
      </c>
      <c r="Z156" t="b">
        <v>0</v>
      </c>
      <c r="AA156" t="s">
        <v>44</v>
      </c>
      <c r="AB156" t="s">
        <v>36</v>
      </c>
      <c r="AC156" t="s">
        <v>256</v>
      </c>
    </row>
    <row r="157" spans="2:29" x14ac:dyDescent="0.35">
      <c r="B157" t="s">
        <v>252</v>
      </c>
      <c r="C157">
        <v>575.82000000000005</v>
      </c>
      <c r="D157" t="s">
        <v>71</v>
      </c>
      <c r="E157" s="10">
        <v>6408.4727915415906</v>
      </c>
      <c r="F157" t="s">
        <v>30</v>
      </c>
      <c r="G157" s="14">
        <v>46023</v>
      </c>
      <c r="H157">
        <v>11791</v>
      </c>
      <c r="I157">
        <v>6789493.620000001</v>
      </c>
      <c r="J157">
        <v>243373.72381957</v>
      </c>
      <c r="K157" t="s">
        <v>253</v>
      </c>
      <c r="L157" s="9" t="s">
        <v>254</v>
      </c>
      <c r="M157" t="s">
        <v>42</v>
      </c>
      <c r="N157" s="12">
        <v>1374.468392475751</v>
      </c>
      <c r="O157" s="13">
        <v>0.21447674620541154</v>
      </c>
      <c r="P157" s="9" t="s">
        <v>252</v>
      </c>
      <c r="Q157">
        <v>452.32</v>
      </c>
      <c r="R157">
        <v>452.32</v>
      </c>
      <c r="S157" t="s">
        <v>71</v>
      </c>
      <c r="T157">
        <v>5034.0043990658396</v>
      </c>
      <c r="U157">
        <v>7592191.2000000002</v>
      </c>
      <c r="V157">
        <v>84495763.838320121</v>
      </c>
      <c r="W157" t="s">
        <v>219</v>
      </c>
      <c r="X157" t="s">
        <v>253</v>
      </c>
      <c r="Y157" t="s">
        <v>255</v>
      </c>
      <c r="Z157" t="b">
        <v>0</v>
      </c>
      <c r="AA157" t="s">
        <v>44</v>
      </c>
      <c r="AB157" t="s">
        <v>36</v>
      </c>
      <c r="AC157" t="s">
        <v>256</v>
      </c>
    </row>
    <row r="158" spans="2:29" x14ac:dyDescent="0.35">
      <c r="B158" t="s">
        <v>257</v>
      </c>
      <c r="C158">
        <v>234.52</v>
      </c>
      <c r="D158" t="s">
        <v>29</v>
      </c>
      <c r="E158" s="10">
        <v>2178.8696215</v>
      </c>
      <c r="F158" t="s">
        <v>30</v>
      </c>
      <c r="G158" s="14">
        <v>46023</v>
      </c>
      <c r="H158">
        <v>10368</v>
      </c>
      <c r="I158">
        <v>2431503.3600000003</v>
      </c>
      <c r="J158">
        <v>98611.372750950002</v>
      </c>
      <c r="K158" t="s">
        <v>258</v>
      </c>
      <c r="L158" s="9" t="s">
        <v>259</v>
      </c>
      <c r="M158" t="s">
        <v>33</v>
      </c>
      <c r="N158" s="12">
        <v>1322.1468799893439</v>
      </c>
      <c r="O158" s="13">
        <v>0.60680403588312815</v>
      </c>
      <c r="P158" s="9" t="s">
        <v>257</v>
      </c>
      <c r="Q158">
        <v>550.24</v>
      </c>
      <c r="R158">
        <v>550.24</v>
      </c>
      <c r="S158" t="s">
        <v>39</v>
      </c>
      <c r="T158">
        <v>856.72274151065608</v>
      </c>
      <c r="U158">
        <v>2857396.32</v>
      </c>
      <c r="V158">
        <v>4448961.1966648372</v>
      </c>
      <c r="W158" t="s">
        <v>30</v>
      </c>
      <c r="X158" t="s">
        <v>260</v>
      </c>
      <c r="Y158" t="s">
        <v>261</v>
      </c>
      <c r="Z158" t="b">
        <v>0</v>
      </c>
      <c r="AA158" t="s">
        <v>35</v>
      </c>
      <c r="AB158" t="s">
        <v>36</v>
      </c>
      <c r="AC158" t="s">
        <v>262</v>
      </c>
    </row>
    <row r="159" spans="2:29" x14ac:dyDescent="0.35">
      <c r="B159" t="s">
        <v>263</v>
      </c>
      <c r="C159">
        <v>918.36</v>
      </c>
      <c r="D159" t="s">
        <v>29</v>
      </c>
      <c r="E159" s="10">
        <v>8532.264649499999</v>
      </c>
      <c r="F159" t="s">
        <v>30</v>
      </c>
      <c r="G159" s="14">
        <v>46023</v>
      </c>
      <c r="H159">
        <v>14453</v>
      </c>
      <c r="I159">
        <v>13273057.08</v>
      </c>
      <c r="J159">
        <v>218747.84420324999</v>
      </c>
      <c r="K159" t="s">
        <v>258</v>
      </c>
      <c r="L159" s="9" t="s">
        <v>259</v>
      </c>
      <c r="M159" t="s">
        <v>33</v>
      </c>
      <c r="N159" s="12">
        <v>2879.3002063749991</v>
      </c>
      <c r="O159" s="13">
        <v>0.33746025523759737</v>
      </c>
      <c r="P159" s="9" t="s">
        <v>263</v>
      </c>
      <c r="Q159">
        <v>608.45000000000005</v>
      </c>
      <c r="R159">
        <v>608.45000000000005</v>
      </c>
      <c r="S159" t="s">
        <v>29</v>
      </c>
      <c r="T159">
        <v>5652.9644431249999</v>
      </c>
      <c r="U159">
        <v>8736733.5500000007</v>
      </c>
      <c r="V159">
        <v>81170916.438831881</v>
      </c>
      <c r="W159" t="s">
        <v>30</v>
      </c>
      <c r="X159" t="s">
        <v>264</v>
      </c>
      <c r="Y159" t="s">
        <v>265</v>
      </c>
      <c r="Z159" t="b">
        <v>0</v>
      </c>
      <c r="AA159" t="s">
        <v>35</v>
      </c>
      <c r="AB159" t="s">
        <v>36</v>
      </c>
      <c r="AC159" t="s">
        <v>262</v>
      </c>
    </row>
    <row r="160" spans="2:29" x14ac:dyDescent="0.35">
      <c r="B160" t="s">
        <v>263</v>
      </c>
      <c r="C160">
        <v>894.34</v>
      </c>
      <c r="D160" t="s">
        <v>29</v>
      </c>
      <c r="E160" s="10">
        <v>8309.1005342499993</v>
      </c>
      <c r="F160" t="s">
        <v>30</v>
      </c>
      <c r="G160" s="14">
        <v>46023</v>
      </c>
      <c r="H160">
        <v>7664</v>
      </c>
      <c r="I160">
        <v>6854221.7600000007</v>
      </c>
      <c r="J160">
        <v>61233.8547894</v>
      </c>
      <c r="K160" t="s">
        <v>258</v>
      </c>
      <c r="L160" s="9" t="s">
        <v>259</v>
      </c>
      <c r="M160" t="s">
        <v>33</v>
      </c>
      <c r="N160" s="12">
        <v>4338.0428264999991</v>
      </c>
      <c r="O160" s="13">
        <v>0.52208332401547508</v>
      </c>
      <c r="P160" s="9" t="s">
        <v>263</v>
      </c>
      <c r="Q160">
        <v>427.42</v>
      </c>
      <c r="R160">
        <v>427.42</v>
      </c>
      <c r="S160" t="s">
        <v>29</v>
      </c>
      <c r="T160">
        <v>3971.0577077500002</v>
      </c>
      <c r="U160">
        <v>7870511.8799999999</v>
      </c>
      <c r="V160">
        <v>73123056.630508497</v>
      </c>
      <c r="W160" t="s">
        <v>30</v>
      </c>
      <c r="X160" t="s">
        <v>264</v>
      </c>
      <c r="Y160" t="s">
        <v>265</v>
      </c>
      <c r="Z160" t="b">
        <v>0</v>
      </c>
      <c r="AA160" t="s">
        <v>35</v>
      </c>
      <c r="AB160" t="s">
        <v>36</v>
      </c>
      <c r="AC160" t="s">
        <v>262</v>
      </c>
    </row>
    <row r="161" spans="2:29" x14ac:dyDescent="0.35">
      <c r="B161" t="s">
        <v>263</v>
      </c>
      <c r="C161">
        <v>242.44</v>
      </c>
      <c r="D161" t="s">
        <v>29</v>
      </c>
      <c r="E161" s="10">
        <v>2252.4524604999997</v>
      </c>
      <c r="F161" t="s">
        <v>30</v>
      </c>
      <c r="G161" s="14">
        <v>46023</v>
      </c>
      <c r="H161">
        <v>12247</v>
      </c>
      <c r="I161">
        <v>2969162.68</v>
      </c>
      <c r="J161">
        <v>292803.50868839998</v>
      </c>
      <c r="K161" t="s">
        <v>258</v>
      </c>
      <c r="L161" s="9" t="s">
        <v>259</v>
      </c>
      <c r="M161" t="s">
        <v>33</v>
      </c>
      <c r="N161" s="12">
        <v>2206.9277242500002</v>
      </c>
      <c r="O161" s="13">
        <v>0.97978881372710802</v>
      </c>
      <c r="P161" s="9" t="s">
        <v>263</v>
      </c>
      <c r="Q161">
        <v>479.98</v>
      </c>
      <c r="R161">
        <v>479.98</v>
      </c>
      <c r="S161" t="s">
        <v>29</v>
      </c>
      <c r="T161">
        <v>4459.3801847499999</v>
      </c>
      <c r="U161">
        <v>1817684.26</v>
      </c>
      <c r="V161">
        <v>16887672.759648249</v>
      </c>
      <c r="W161" t="s">
        <v>30</v>
      </c>
      <c r="X161" t="s">
        <v>264</v>
      </c>
      <c r="Y161" t="s">
        <v>265</v>
      </c>
      <c r="Z161" t="b">
        <v>0</v>
      </c>
      <c r="AA161" t="s">
        <v>35</v>
      </c>
      <c r="AB161" t="s">
        <v>36</v>
      </c>
      <c r="AC161" t="s">
        <v>262</v>
      </c>
    </row>
    <row r="162" spans="2:29" x14ac:dyDescent="0.35">
      <c r="B162" t="s">
        <v>266</v>
      </c>
      <c r="C162">
        <v>597</v>
      </c>
      <c r="D162" t="s">
        <v>29</v>
      </c>
      <c r="E162" s="10">
        <v>5546.5852125000001</v>
      </c>
      <c r="F162" t="s">
        <v>30</v>
      </c>
      <c r="G162" s="14">
        <v>46023</v>
      </c>
      <c r="H162">
        <v>1278</v>
      </c>
      <c r="I162">
        <v>762966</v>
      </c>
      <c r="J162">
        <v>671396.58043199999</v>
      </c>
      <c r="K162" t="s">
        <v>258</v>
      </c>
      <c r="L162" s="9" t="s">
        <v>259</v>
      </c>
      <c r="M162" t="s">
        <v>33</v>
      </c>
      <c r="N162" s="12">
        <v>952.67478674999893</v>
      </c>
      <c r="O162" s="13">
        <v>0.17175879396984906</v>
      </c>
      <c r="P162" s="9" t="s">
        <v>266</v>
      </c>
      <c r="Q162">
        <v>699.54</v>
      </c>
      <c r="R162">
        <v>699.54</v>
      </c>
      <c r="S162" t="s">
        <v>29</v>
      </c>
      <c r="T162">
        <v>6499.2599992499991</v>
      </c>
      <c r="U162">
        <v>7559928.7799999993</v>
      </c>
      <c r="V162">
        <v>70237502.811894745</v>
      </c>
      <c r="W162" t="s">
        <v>30</v>
      </c>
      <c r="X162" t="s">
        <v>267</v>
      </c>
      <c r="Y162" t="s">
        <v>265</v>
      </c>
      <c r="Z162" t="b">
        <v>0</v>
      </c>
      <c r="AA162" t="s">
        <v>35</v>
      </c>
      <c r="AB162" t="s">
        <v>36</v>
      </c>
      <c r="AC162" t="s">
        <v>262</v>
      </c>
    </row>
    <row r="163" spans="2:29" x14ac:dyDescent="0.35">
      <c r="B163" t="s">
        <v>268</v>
      </c>
      <c r="C163">
        <v>376.11</v>
      </c>
      <c r="D163" t="s">
        <v>179</v>
      </c>
      <c r="E163" s="10">
        <v>376.11</v>
      </c>
      <c r="F163" t="s">
        <v>30</v>
      </c>
      <c r="G163" s="14">
        <v>46023</v>
      </c>
      <c r="H163">
        <v>14836</v>
      </c>
      <c r="I163">
        <v>5579967.96</v>
      </c>
      <c r="J163">
        <v>366387.75</v>
      </c>
      <c r="K163" t="s">
        <v>269</v>
      </c>
      <c r="L163" s="9" t="s">
        <v>270</v>
      </c>
      <c r="M163" t="s">
        <v>50</v>
      </c>
      <c r="N163" s="12">
        <v>606.56999999999994</v>
      </c>
      <c r="O163" s="13">
        <v>1.6127462710377281</v>
      </c>
      <c r="P163" s="9" t="s">
        <v>268</v>
      </c>
      <c r="Q163">
        <v>982.68</v>
      </c>
      <c r="R163">
        <v>982.68</v>
      </c>
      <c r="S163" t="s">
        <v>179</v>
      </c>
      <c r="T163">
        <v>982.68</v>
      </c>
      <c r="U163">
        <v>2600171.2799999998</v>
      </c>
      <c r="V163">
        <v>2600171.2799999998</v>
      </c>
      <c r="W163" t="s">
        <v>30</v>
      </c>
      <c r="X163" t="s">
        <v>271</v>
      </c>
      <c r="Y163" t="s">
        <v>272</v>
      </c>
      <c r="Z163" t="b">
        <v>0</v>
      </c>
      <c r="AA163" t="s">
        <v>35</v>
      </c>
      <c r="AB163" t="s">
        <v>36</v>
      </c>
      <c r="AC163" t="s">
        <v>273</v>
      </c>
    </row>
    <row r="164" spans="2:29" x14ac:dyDescent="0.35">
      <c r="B164" t="s">
        <v>274</v>
      </c>
      <c r="C164">
        <v>302.8</v>
      </c>
      <c r="D164" t="s">
        <v>39</v>
      </c>
      <c r="E164" s="10">
        <v>471.45908354432004</v>
      </c>
      <c r="F164" t="s">
        <v>30</v>
      </c>
      <c r="G164" s="14">
        <v>46023</v>
      </c>
      <c r="H164">
        <v>10272</v>
      </c>
      <c r="I164">
        <v>3110361.6</v>
      </c>
      <c r="J164">
        <v>13458.6932567936</v>
      </c>
      <c r="K164" t="s">
        <v>275</v>
      </c>
      <c r="L164" s="9" t="s">
        <v>276</v>
      </c>
      <c r="M164" t="s">
        <v>50</v>
      </c>
      <c r="N164" s="12">
        <v>463.16028263516796</v>
      </c>
      <c r="O164" s="13">
        <v>0.98239762219286642</v>
      </c>
      <c r="P164" s="9" t="s">
        <v>274</v>
      </c>
      <c r="Q164">
        <v>600.27</v>
      </c>
      <c r="R164">
        <v>600.27</v>
      </c>
      <c r="S164" t="s">
        <v>39</v>
      </c>
      <c r="T164">
        <v>934.619366179488</v>
      </c>
      <c r="U164">
        <v>2888499.2399999998</v>
      </c>
      <c r="V164">
        <v>4497388.3900556965</v>
      </c>
      <c r="W164" t="s">
        <v>30</v>
      </c>
      <c r="X164" t="s">
        <v>277</v>
      </c>
      <c r="Y164" t="s">
        <v>278</v>
      </c>
      <c r="Z164" t="b">
        <v>0</v>
      </c>
      <c r="AA164" t="s">
        <v>44</v>
      </c>
      <c r="AB164" t="s">
        <v>45</v>
      </c>
      <c r="AC164" t="s">
        <v>245</v>
      </c>
    </row>
    <row r="165" spans="2:29" x14ac:dyDescent="0.35">
      <c r="B165" t="s">
        <v>279</v>
      </c>
      <c r="C165">
        <v>579.25</v>
      </c>
      <c r="D165" t="s">
        <v>179</v>
      </c>
      <c r="E165" s="10">
        <v>579.25</v>
      </c>
      <c r="F165" t="s">
        <v>30</v>
      </c>
      <c r="G165" s="14">
        <v>46023</v>
      </c>
      <c r="H165">
        <v>1715</v>
      </c>
      <c r="I165">
        <v>993413.75</v>
      </c>
      <c r="J165">
        <v>11586.0489</v>
      </c>
      <c r="K165" t="s">
        <v>280</v>
      </c>
      <c r="L165" s="9" t="s">
        <v>281</v>
      </c>
      <c r="M165" t="s">
        <v>50</v>
      </c>
      <c r="N165" s="12">
        <v>73.470000000000027</v>
      </c>
      <c r="O165" s="13">
        <v>0.12683642641346574</v>
      </c>
      <c r="P165" s="9" t="s">
        <v>279</v>
      </c>
      <c r="Q165">
        <v>652.72</v>
      </c>
      <c r="R165">
        <v>652.72</v>
      </c>
      <c r="S165" t="s">
        <v>179</v>
      </c>
      <c r="T165">
        <v>652.72</v>
      </c>
      <c r="U165">
        <v>10910867.52</v>
      </c>
      <c r="V165">
        <v>10910867.52</v>
      </c>
      <c r="W165" t="s">
        <v>30</v>
      </c>
      <c r="X165" t="s">
        <v>282</v>
      </c>
      <c r="Y165" t="s">
        <v>283</v>
      </c>
      <c r="Z165" t="b">
        <v>0</v>
      </c>
      <c r="AA165" t="s">
        <v>44</v>
      </c>
      <c r="AB165" t="s">
        <v>36</v>
      </c>
      <c r="AC165" t="s">
        <v>251</v>
      </c>
    </row>
    <row r="166" spans="2:29" x14ac:dyDescent="0.35">
      <c r="B166" t="s">
        <v>284</v>
      </c>
      <c r="C166">
        <v>497.55</v>
      </c>
      <c r="D166" t="s">
        <v>179</v>
      </c>
      <c r="E166" s="10">
        <v>497.55</v>
      </c>
      <c r="F166" t="s">
        <v>30</v>
      </c>
      <c r="G166" s="14">
        <v>46023</v>
      </c>
      <c r="H166">
        <v>11597</v>
      </c>
      <c r="I166">
        <v>5770087.3500000006</v>
      </c>
      <c r="J166">
        <v>4182.8</v>
      </c>
      <c r="K166" t="s">
        <v>280</v>
      </c>
      <c r="L166" s="9" t="s">
        <v>281</v>
      </c>
      <c r="M166" t="s">
        <v>50</v>
      </c>
      <c r="N166" s="12">
        <v>446.50999999999993</v>
      </c>
      <c r="O166" s="13">
        <v>0.89741734499045311</v>
      </c>
      <c r="P166" s="9" t="s">
        <v>284</v>
      </c>
      <c r="Q166">
        <v>944.06</v>
      </c>
      <c r="R166">
        <v>944.06</v>
      </c>
      <c r="S166" t="s">
        <v>179</v>
      </c>
      <c r="T166">
        <v>944.06</v>
      </c>
      <c r="U166">
        <v>8537134.5800000001</v>
      </c>
      <c r="V166">
        <v>8537134.5800000001</v>
      </c>
      <c r="W166" t="s">
        <v>30</v>
      </c>
      <c r="X166" t="s">
        <v>282</v>
      </c>
      <c r="Y166" t="s">
        <v>285</v>
      </c>
      <c r="Z166" t="b">
        <v>0</v>
      </c>
      <c r="AA166" t="s">
        <v>35</v>
      </c>
      <c r="AB166" t="s">
        <v>36</v>
      </c>
      <c r="AC166" t="s">
        <v>251</v>
      </c>
    </row>
    <row r="167" spans="2:29" x14ac:dyDescent="0.35">
      <c r="B167" t="s">
        <v>284</v>
      </c>
      <c r="C167">
        <v>744.64</v>
      </c>
      <c r="D167" t="s">
        <v>179</v>
      </c>
      <c r="E167" s="10">
        <v>744.64</v>
      </c>
      <c r="F167" t="s">
        <v>30</v>
      </c>
      <c r="G167" s="14">
        <v>46023</v>
      </c>
      <c r="H167">
        <v>12099</v>
      </c>
      <c r="I167">
        <v>9009399.3599999994</v>
      </c>
      <c r="J167">
        <v>6274.2</v>
      </c>
      <c r="K167" t="s">
        <v>280</v>
      </c>
      <c r="L167" s="9" t="s">
        <v>281</v>
      </c>
      <c r="M167" t="s">
        <v>50</v>
      </c>
      <c r="N167" s="12">
        <v>104.40999999999997</v>
      </c>
      <c r="O167" s="13">
        <v>0.14021540610227756</v>
      </c>
      <c r="P167" s="9" t="s">
        <v>284</v>
      </c>
      <c r="Q167">
        <v>640.23</v>
      </c>
      <c r="R167">
        <v>640.23</v>
      </c>
      <c r="S167" t="s">
        <v>179</v>
      </c>
      <c r="T167">
        <v>640.23</v>
      </c>
      <c r="U167">
        <v>5366407.8600000003</v>
      </c>
      <c r="V167">
        <v>5366407.8600000003</v>
      </c>
      <c r="W167" t="s">
        <v>30</v>
      </c>
      <c r="X167" t="s">
        <v>282</v>
      </c>
      <c r="Y167" t="s">
        <v>285</v>
      </c>
      <c r="Z167" t="b">
        <v>0</v>
      </c>
      <c r="AA167" t="s">
        <v>35</v>
      </c>
      <c r="AB167" t="s">
        <v>36</v>
      </c>
      <c r="AC167" t="s">
        <v>251</v>
      </c>
    </row>
    <row r="168" spans="2:29" x14ac:dyDescent="0.35">
      <c r="B168" t="s">
        <v>284</v>
      </c>
      <c r="C168">
        <v>975.58</v>
      </c>
      <c r="D168" t="s">
        <v>179</v>
      </c>
      <c r="E168" s="10">
        <v>975.58</v>
      </c>
      <c r="F168" t="s">
        <v>30</v>
      </c>
      <c r="G168" s="14">
        <v>46023</v>
      </c>
      <c r="H168">
        <v>18086</v>
      </c>
      <c r="I168">
        <v>17644339.879999999</v>
      </c>
      <c r="J168">
        <v>20914</v>
      </c>
      <c r="K168" t="s">
        <v>280</v>
      </c>
      <c r="L168" s="9" t="s">
        <v>281</v>
      </c>
      <c r="M168" t="s">
        <v>50</v>
      </c>
      <c r="N168" s="12">
        <v>633.52</v>
      </c>
      <c r="O168" s="13">
        <v>0.6493778060230837</v>
      </c>
      <c r="P168" s="9" t="s">
        <v>284</v>
      </c>
      <c r="Q168">
        <v>342.06</v>
      </c>
      <c r="R168">
        <v>342.06</v>
      </c>
      <c r="S168" t="s">
        <v>179</v>
      </c>
      <c r="T168">
        <v>342.06</v>
      </c>
      <c r="U168">
        <v>1991131.26</v>
      </c>
      <c r="V168">
        <v>1991131.26</v>
      </c>
      <c r="W168" t="s">
        <v>30</v>
      </c>
      <c r="X168" t="s">
        <v>282</v>
      </c>
      <c r="Y168" t="s">
        <v>285</v>
      </c>
      <c r="Z168" t="b">
        <v>0</v>
      </c>
      <c r="AA168" t="s">
        <v>35</v>
      </c>
      <c r="AB168" t="s">
        <v>36</v>
      </c>
      <c r="AC168" t="s">
        <v>251</v>
      </c>
    </row>
    <row r="169" spans="2:29" x14ac:dyDescent="0.35">
      <c r="B169" t="s">
        <v>284</v>
      </c>
      <c r="C169">
        <v>289.26</v>
      </c>
      <c r="D169" t="s">
        <v>179</v>
      </c>
      <c r="E169" s="10">
        <v>289.26</v>
      </c>
      <c r="F169" t="s">
        <v>30</v>
      </c>
      <c r="G169" s="14">
        <v>46023</v>
      </c>
      <c r="H169">
        <v>10668</v>
      </c>
      <c r="I169">
        <v>3085825.6799999997</v>
      </c>
      <c r="J169">
        <v>6274.2</v>
      </c>
      <c r="K169" t="s">
        <v>280</v>
      </c>
      <c r="L169" s="9" t="s">
        <v>281</v>
      </c>
      <c r="M169" t="s">
        <v>50</v>
      </c>
      <c r="N169" s="12">
        <v>325.81000000000006</v>
      </c>
      <c r="O169" s="13">
        <v>1.1263569107377449</v>
      </c>
      <c r="P169" s="9" t="s">
        <v>284</v>
      </c>
      <c r="Q169">
        <v>615.07000000000005</v>
      </c>
      <c r="R169">
        <v>615.07000000000005</v>
      </c>
      <c r="S169" t="s">
        <v>179</v>
      </c>
      <c r="T169">
        <v>615.07000000000005</v>
      </c>
      <c r="U169">
        <v>3847262.85</v>
      </c>
      <c r="V169">
        <v>3847262.85</v>
      </c>
      <c r="W169" t="s">
        <v>30</v>
      </c>
      <c r="X169" t="s">
        <v>282</v>
      </c>
      <c r="Y169" t="s">
        <v>285</v>
      </c>
      <c r="Z169" t="b">
        <v>0</v>
      </c>
      <c r="AA169" t="s">
        <v>35</v>
      </c>
      <c r="AB169" t="s">
        <v>36</v>
      </c>
      <c r="AC169" t="s">
        <v>251</v>
      </c>
    </row>
    <row r="170" spans="2:29" x14ac:dyDescent="0.35">
      <c r="B170" t="s">
        <v>286</v>
      </c>
      <c r="C170">
        <v>712.24</v>
      </c>
      <c r="D170" t="s">
        <v>179</v>
      </c>
      <c r="E170" s="10">
        <v>712.24</v>
      </c>
      <c r="F170" t="s">
        <v>30</v>
      </c>
      <c r="G170" s="14">
        <v>46023</v>
      </c>
      <c r="H170">
        <v>3927</v>
      </c>
      <c r="I170">
        <v>2796966.48</v>
      </c>
      <c r="J170">
        <v>57814.11</v>
      </c>
      <c r="K170" t="s">
        <v>280</v>
      </c>
      <c r="L170" s="9" t="s">
        <v>281</v>
      </c>
      <c r="M170" t="s">
        <v>50</v>
      </c>
      <c r="N170" s="12">
        <v>54.919999999999959</v>
      </c>
      <c r="O170" s="13">
        <v>7.710883971694929E-2</v>
      </c>
      <c r="P170" s="9" t="s">
        <v>286</v>
      </c>
      <c r="Q170">
        <v>767.16</v>
      </c>
      <c r="R170">
        <v>767.16</v>
      </c>
      <c r="S170" t="s">
        <v>179</v>
      </c>
      <c r="T170">
        <v>767.16</v>
      </c>
      <c r="U170">
        <v>9596404.4399999995</v>
      </c>
      <c r="V170">
        <v>9596404.4399999995</v>
      </c>
      <c r="W170" t="s">
        <v>30</v>
      </c>
      <c r="X170" t="s">
        <v>282</v>
      </c>
      <c r="Y170" t="s">
        <v>287</v>
      </c>
      <c r="Z170" t="b">
        <v>0</v>
      </c>
      <c r="AA170" t="s">
        <v>44</v>
      </c>
      <c r="AB170" t="s">
        <v>36</v>
      </c>
      <c r="AC170" t="s">
        <v>288</v>
      </c>
    </row>
    <row r="171" spans="2:29" x14ac:dyDescent="0.35">
      <c r="B171" t="s">
        <v>289</v>
      </c>
      <c r="C171">
        <v>100.8</v>
      </c>
      <c r="D171" t="s">
        <v>179</v>
      </c>
      <c r="E171" s="10">
        <v>100.8</v>
      </c>
      <c r="F171" t="s">
        <v>30</v>
      </c>
      <c r="G171" s="14">
        <v>46023</v>
      </c>
      <c r="H171">
        <v>6166</v>
      </c>
      <c r="I171">
        <v>621532.79999999993</v>
      </c>
      <c r="J171">
        <v>2220</v>
      </c>
      <c r="K171" t="s">
        <v>280</v>
      </c>
      <c r="L171" s="9" t="s">
        <v>281</v>
      </c>
      <c r="M171" t="s">
        <v>50</v>
      </c>
      <c r="N171" s="12">
        <v>670.93000000000006</v>
      </c>
      <c r="O171" s="13">
        <v>6.6560515873015884</v>
      </c>
      <c r="P171" s="9" t="s">
        <v>289</v>
      </c>
      <c r="Q171">
        <v>771.73</v>
      </c>
      <c r="R171">
        <v>771.73</v>
      </c>
      <c r="S171" t="s">
        <v>179</v>
      </c>
      <c r="T171">
        <v>771.73</v>
      </c>
      <c r="U171">
        <v>9259988.2699999996</v>
      </c>
      <c r="V171">
        <v>9259988.2699999996</v>
      </c>
      <c r="W171" t="s">
        <v>30</v>
      </c>
      <c r="X171" t="s">
        <v>282</v>
      </c>
      <c r="Y171" t="s">
        <v>290</v>
      </c>
      <c r="Z171" t="b">
        <v>0</v>
      </c>
      <c r="AA171" t="s">
        <v>44</v>
      </c>
      <c r="AB171" t="s">
        <v>36</v>
      </c>
      <c r="AC171" t="s">
        <v>288</v>
      </c>
    </row>
    <row r="172" spans="2:29" x14ac:dyDescent="0.35">
      <c r="B172" t="s">
        <v>291</v>
      </c>
      <c r="C172">
        <v>977.39</v>
      </c>
      <c r="D172" t="s">
        <v>179</v>
      </c>
      <c r="E172" s="10">
        <v>977.39</v>
      </c>
      <c r="F172" t="s">
        <v>30</v>
      </c>
      <c r="G172" s="14">
        <v>46023</v>
      </c>
      <c r="H172">
        <v>14941</v>
      </c>
      <c r="I172">
        <v>14603183.99</v>
      </c>
      <c r="J172">
        <v>937.82</v>
      </c>
      <c r="K172" t="s">
        <v>280</v>
      </c>
      <c r="L172" s="9" t="s">
        <v>281</v>
      </c>
      <c r="M172" t="s">
        <v>50</v>
      </c>
      <c r="N172" s="12">
        <v>81.529999999999973</v>
      </c>
      <c r="O172" s="13">
        <v>8.341603658723741E-2</v>
      </c>
      <c r="P172" s="9" t="s">
        <v>291</v>
      </c>
      <c r="Q172">
        <v>895.86</v>
      </c>
      <c r="R172">
        <v>895.86</v>
      </c>
      <c r="S172" t="s">
        <v>179</v>
      </c>
      <c r="T172">
        <v>895.86</v>
      </c>
      <c r="U172">
        <v>3720506.58</v>
      </c>
      <c r="V172">
        <v>3720506.58</v>
      </c>
      <c r="W172" t="s">
        <v>30</v>
      </c>
      <c r="X172" t="s">
        <v>282</v>
      </c>
      <c r="Y172" t="s">
        <v>292</v>
      </c>
      <c r="Z172" t="b">
        <v>0</v>
      </c>
      <c r="AA172" t="s">
        <v>44</v>
      </c>
      <c r="AB172" t="s">
        <v>36</v>
      </c>
      <c r="AC172" t="s">
        <v>288</v>
      </c>
    </row>
    <row r="173" spans="2:29" x14ac:dyDescent="0.35">
      <c r="B173" t="s">
        <v>291</v>
      </c>
      <c r="C173">
        <v>0.33</v>
      </c>
      <c r="D173" t="s">
        <v>179</v>
      </c>
      <c r="E173" s="10">
        <v>0.33</v>
      </c>
      <c r="F173" t="s">
        <v>30</v>
      </c>
      <c r="G173" s="14">
        <v>46023</v>
      </c>
      <c r="H173">
        <v>4224</v>
      </c>
      <c r="I173">
        <v>1393.92</v>
      </c>
      <c r="J173">
        <v>870.48839999999996</v>
      </c>
      <c r="K173" t="s">
        <v>280</v>
      </c>
      <c r="L173" s="9" t="s">
        <v>281</v>
      </c>
      <c r="M173" t="s">
        <v>50</v>
      </c>
      <c r="N173" s="12">
        <v>271.71000000000004</v>
      </c>
      <c r="O173" s="13">
        <v>823.36363636363649</v>
      </c>
      <c r="P173" s="9" t="s">
        <v>291</v>
      </c>
      <c r="Q173">
        <v>272.04000000000002</v>
      </c>
      <c r="R173">
        <v>272.04000000000002</v>
      </c>
      <c r="S173" t="s">
        <v>179</v>
      </c>
      <c r="T173">
        <v>272.04000000000002</v>
      </c>
      <c r="U173">
        <v>1914889.56</v>
      </c>
      <c r="V173">
        <v>1914889.56</v>
      </c>
      <c r="W173" t="s">
        <v>30</v>
      </c>
      <c r="X173" t="s">
        <v>282</v>
      </c>
      <c r="Y173" t="s">
        <v>292</v>
      </c>
      <c r="Z173" t="b">
        <v>0</v>
      </c>
      <c r="AA173" t="s">
        <v>44</v>
      </c>
      <c r="AB173" t="s">
        <v>36</v>
      </c>
      <c r="AC173" t="s">
        <v>288</v>
      </c>
    </row>
    <row r="174" spans="2:29" x14ac:dyDescent="0.35">
      <c r="B174" t="s">
        <v>293</v>
      </c>
      <c r="C174">
        <v>725.76</v>
      </c>
      <c r="D174" t="s">
        <v>179</v>
      </c>
      <c r="E174" s="10">
        <v>725.76</v>
      </c>
      <c r="F174" t="s">
        <v>30</v>
      </c>
      <c r="G174" s="14">
        <v>46023</v>
      </c>
      <c r="H174">
        <v>8689</v>
      </c>
      <c r="I174">
        <v>6306128.6399999997</v>
      </c>
      <c r="J174">
        <v>954.9</v>
      </c>
      <c r="K174" t="s">
        <v>280</v>
      </c>
      <c r="L174" s="9" t="s">
        <v>281</v>
      </c>
      <c r="M174" t="s">
        <v>50</v>
      </c>
      <c r="N174" s="12">
        <v>187.47000000000003</v>
      </c>
      <c r="O174" s="13">
        <v>0.2583085317460318</v>
      </c>
      <c r="P174" s="9" t="s">
        <v>293</v>
      </c>
      <c r="Q174">
        <v>913.23</v>
      </c>
      <c r="R174">
        <v>913.23</v>
      </c>
      <c r="S174" t="s">
        <v>179</v>
      </c>
      <c r="T174">
        <v>913.23</v>
      </c>
      <c r="U174">
        <v>8338703.1299999999</v>
      </c>
      <c r="V174">
        <v>8338703.1299999999</v>
      </c>
      <c r="W174" t="s">
        <v>30</v>
      </c>
      <c r="X174" t="s">
        <v>282</v>
      </c>
      <c r="Y174" t="s">
        <v>292</v>
      </c>
      <c r="Z174" t="b">
        <v>0</v>
      </c>
      <c r="AA174" t="s">
        <v>44</v>
      </c>
      <c r="AB174" t="s">
        <v>36</v>
      </c>
      <c r="AC174" t="s">
        <v>251</v>
      </c>
    </row>
    <row r="175" spans="2:29" x14ac:dyDescent="0.35">
      <c r="B175" t="s">
        <v>294</v>
      </c>
      <c r="C175">
        <v>787.21</v>
      </c>
      <c r="D175" t="s">
        <v>179</v>
      </c>
      <c r="E175" s="10">
        <v>787.21</v>
      </c>
      <c r="F175" t="s">
        <v>30</v>
      </c>
      <c r="G175" s="14">
        <v>46023</v>
      </c>
      <c r="H175">
        <v>2414</v>
      </c>
      <c r="I175">
        <v>1900324.9400000002</v>
      </c>
      <c r="J175">
        <v>1655</v>
      </c>
      <c r="K175" t="s">
        <v>280</v>
      </c>
      <c r="L175" s="9" t="s">
        <v>281</v>
      </c>
      <c r="M175" t="s">
        <v>50</v>
      </c>
      <c r="N175" s="12">
        <v>198.42999999999995</v>
      </c>
      <c r="O175" s="13">
        <v>0.25206742800523357</v>
      </c>
      <c r="P175" s="9" t="s">
        <v>294</v>
      </c>
      <c r="Q175">
        <v>985.64</v>
      </c>
      <c r="R175">
        <v>985.64</v>
      </c>
      <c r="S175" t="s">
        <v>179</v>
      </c>
      <c r="T175">
        <v>985.64</v>
      </c>
      <c r="U175">
        <v>16725325.16</v>
      </c>
      <c r="V175">
        <v>16725325.16</v>
      </c>
      <c r="W175" t="s">
        <v>30</v>
      </c>
      <c r="X175" t="s">
        <v>282</v>
      </c>
      <c r="Y175" t="s">
        <v>295</v>
      </c>
      <c r="Z175" t="b">
        <v>0</v>
      </c>
      <c r="AA175" t="s">
        <v>44</v>
      </c>
      <c r="AB175" t="s">
        <v>36</v>
      </c>
      <c r="AC175" t="s">
        <v>251</v>
      </c>
    </row>
    <row r="176" spans="2:29" x14ac:dyDescent="0.35">
      <c r="B176" t="s">
        <v>296</v>
      </c>
      <c r="C176">
        <v>783.15</v>
      </c>
      <c r="D176" t="s">
        <v>39</v>
      </c>
      <c r="E176" s="10">
        <v>1219.3632142593599</v>
      </c>
      <c r="F176" t="s">
        <v>30</v>
      </c>
      <c r="G176" s="14">
        <v>46023</v>
      </c>
      <c r="H176">
        <v>8281</v>
      </c>
      <c r="I176">
        <v>6485265.1499999994</v>
      </c>
      <c r="J176">
        <v>759.61587188551698</v>
      </c>
      <c r="K176" t="s">
        <v>297</v>
      </c>
      <c r="L176" s="9" t="s">
        <v>298</v>
      </c>
      <c r="M176" t="s">
        <v>50</v>
      </c>
      <c r="N176" s="12">
        <v>376.40433767119987</v>
      </c>
      <c r="O176" s="13">
        <v>0.30868926770095123</v>
      </c>
      <c r="P176" s="9" t="s">
        <v>296</v>
      </c>
      <c r="Q176">
        <v>541.4</v>
      </c>
      <c r="R176">
        <v>541.4</v>
      </c>
      <c r="S176" t="s">
        <v>39</v>
      </c>
      <c r="T176">
        <v>842.95887658816002</v>
      </c>
      <c r="U176">
        <v>5254287</v>
      </c>
      <c r="V176">
        <v>8180915.8972880933</v>
      </c>
      <c r="W176" t="s">
        <v>30</v>
      </c>
      <c r="X176" t="s">
        <v>299</v>
      </c>
      <c r="Y176" t="s">
        <v>300</v>
      </c>
      <c r="Z176" t="b">
        <v>0</v>
      </c>
      <c r="AB176" t="s">
        <v>45</v>
      </c>
      <c r="AC176" t="s">
        <v>301</v>
      </c>
    </row>
    <row r="177" spans="2:29" x14ac:dyDescent="0.35">
      <c r="B177" t="s">
        <v>302</v>
      </c>
      <c r="C177">
        <v>758.59</v>
      </c>
      <c r="D177" t="s">
        <v>29</v>
      </c>
      <c r="E177" s="10">
        <v>7047.8795248750002</v>
      </c>
      <c r="G177" s="14">
        <v>46023</v>
      </c>
      <c r="H177">
        <v>14166</v>
      </c>
      <c r="I177">
        <v>10746185.940000001</v>
      </c>
      <c r="J177">
        <v>8556.7922624999992</v>
      </c>
      <c r="K177" t="s">
        <v>303</v>
      </c>
      <c r="L177" s="9" t="s">
        <v>304</v>
      </c>
      <c r="M177" t="s">
        <v>50</v>
      </c>
      <c r="N177" s="12">
        <v>6266.5466407791919</v>
      </c>
      <c r="O177" s="13">
        <v>0.8891392962467437</v>
      </c>
      <c r="P177" s="9" t="s">
        <v>302</v>
      </c>
      <c r="Q177">
        <v>501.82</v>
      </c>
      <c r="R177">
        <v>501.82</v>
      </c>
      <c r="S177" t="s">
        <v>39</v>
      </c>
      <c r="T177">
        <v>781.33288409580803</v>
      </c>
      <c r="U177">
        <v>7213662.5</v>
      </c>
      <c r="V177">
        <v>11231660.208877241</v>
      </c>
      <c r="X177">
        <v>0</v>
      </c>
      <c r="Y177" t="s">
        <v>305</v>
      </c>
      <c r="Z177" t="b">
        <v>0</v>
      </c>
      <c r="AB177" t="s">
        <v>36</v>
      </c>
      <c r="AC177" t="s">
        <v>306</v>
      </c>
    </row>
    <row r="178" spans="2:29" x14ac:dyDescent="0.35">
      <c r="B178" t="s">
        <v>307</v>
      </c>
      <c r="C178">
        <v>300.61</v>
      </c>
      <c r="D178" t="s">
        <v>179</v>
      </c>
      <c r="E178" s="10">
        <v>300.61</v>
      </c>
      <c r="F178" t="s">
        <v>30</v>
      </c>
      <c r="G178" s="14">
        <v>46023</v>
      </c>
      <c r="H178">
        <v>2428</v>
      </c>
      <c r="I178">
        <v>729881.08000000007</v>
      </c>
      <c r="J178">
        <v>650809.80000000005</v>
      </c>
      <c r="K178" t="s">
        <v>269</v>
      </c>
      <c r="L178" s="9" t="s">
        <v>270</v>
      </c>
      <c r="M178" t="s">
        <v>50</v>
      </c>
      <c r="N178" s="12">
        <v>767.49082995840001</v>
      </c>
      <c r="O178" s="13">
        <v>2.5531114399334687</v>
      </c>
      <c r="P178" s="9" t="s">
        <v>307</v>
      </c>
      <c r="Q178">
        <v>686</v>
      </c>
      <c r="R178">
        <v>686</v>
      </c>
      <c r="S178" t="s">
        <v>39</v>
      </c>
      <c r="T178">
        <v>1068.1008299584</v>
      </c>
      <c r="U178">
        <v>4393144</v>
      </c>
      <c r="V178">
        <v>6840117.7150535937</v>
      </c>
      <c r="W178" t="s">
        <v>30</v>
      </c>
      <c r="X178" t="s">
        <v>271</v>
      </c>
      <c r="Y178" t="s">
        <v>308</v>
      </c>
      <c r="Z178" t="b">
        <v>0</v>
      </c>
      <c r="AA178" t="s">
        <v>35</v>
      </c>
      <c r="AB178" t="s">
        <v>36</v>
      </c>
      <c r="AC178" t="s">
        <v>273</v>
      </c>
    </row>
    <row r="179" spans="2:29" x14ac:dyDescent="0.35">
      <c r="B179" t="s">
        <v>309</v>
      </c>
      <c r="C179">
        <v>148.77000000000001</v>
      </c>
      <c r="D179" t="s">
        <v>71</v>
      </c>
      <c r="E179" s="10">
        <v>1655.705771243865</v>
      </c>
      <c r="F179" t="s">
        <v>30</v>
      </c>
      <c r="G179" s="14">
        <v>46023</v>
      </c>
      <c r="H179">
        <v>12697</v>
      </c>
      <c r="I179">
        <v>1888932.6900000002</v>
      </c>
      <c r="J179">
        <v>129540.336137399</v>
      </c>
      <c r="K179" t="s">
        <v>310</v>
      </c>
      <c r="L179" s="9" t="s">
        <v>311</v>
      </c>
      <c r="M179" t="s">
        <v>50</v>
      </c>
      <c r="N179" s="12">
        <v>646.95771626799296</v>
      </c>
      <c r="O179" s="13">
        <v>0.39074437469766121</v>
      </c>
      <c r="P179" s="9" t="s">
        <v>309</v>
      </c>
      <c r="Q179">
        <v>647.88</v>
      </c>
      <c r="R179">
        <v>647.88</v>
      </c>
      <c r="S179" t="s">
        <v>39</v>
      </c>
      <c r="T179">
        <v>1008.748054975872</v>
      </c>
      <c r="U179">
        <v>484614.24</v>
      </c>
      <c r="V179">
        <v>754543.54512195231</v>
      </c>
      <c r="W179" t="s">
        <v>30</v>
      </c>
      <c r="X179" t="s">
        <v>312</v>
      </c>
      <c r="Y179" t="s">
        <v>313</v>
      </c>
      <c r="Z179" t="b">
        <v>0</v>
      </c>
      <c r="AA179" t="s">
        <v>44</v>
      </c>
      <c r="AB179" t="s">
        <v>36</v>
      </c>
      <c r="AC179" t="s">
        <v>175</v>
      </c>
    </row>
    <row r="180" spans="2:29" x14ac:dyDescent="0.35">
      <c r="B180" t="s">
        <v>314</v>
      </c>
      <c r="C180">
        <v>677.16</v>
      </c>
      <c r="D180" t="s">
        <v>39</v>
      </c>
      <c r="E180" s="10">
        <v>1054.3369650359041</v>
      </c>
      <c r="F180" t="s">
        <v>30</v>
      </c>
      <c r="G180" s="14">
        <v>46023</v>
      </c>
      <c r="H180">
        <v>10818</v>
      </c>
      <c r="I180">
        <v>7325516.8799999999</v>
      </c>
      <c r="J180">
        <v>13994.300670067199</v>
      </c>
      <c r="K180" t="s">
        <v>315</v>
      </c>
      <c r="L180" s="9" t="s">
        <v>316</v>
      </c>
      <c r="M180" t="s">
        <v>50</v>
      </c>
      <c r="N180" s="12">
        <v>895.85010864892809</v>
      </c>
      <c r="O180" s="13">
        <v>0.84968102073365237</v>
      </c>
      <c r="P180" s="9" t="s">
        <v>314</v>
      </c>
      <c r="Q180">
        <v>101.79</v>
      </c>
      <c r="R180">
        <v>1.0179</v>
      </c>
      <c r="S180" t="s">
        <v>39</v>
      </c>
      <c r="T180">
        <v>158.486856386976</v>
      </c>
      <c r="U180">
        <v>653695.38</v>
      </c>
      <c r="V180">
        <v>1017802.5917171598</v>
      </c>
      <c r="W180" t="s">
        <v>249</v>
      </c>
      <c r="X180" t="s">
        <v>317</v>
      </c>
      <c r="Y180" t="s">
        <v>318</v>
      </c>
      <c r="Z180" t="b">
        <v>0</v>
      </c>
      <c r="AA180" t="s">
        <v>44</v>
      </c>
      <c r="AB180" t="s">
        <v>45</v>
      </c>
      <c r="AC180" t="s">
        <v>251</v>
      </c>
    </row>
    <row r="181" spans="2:29" x14ac:dyDescent="0.35">
      <c r="B181" t="s">
        <v>319</v>
      </c>
      <c r="C181">
        <v>437.22</v>
      </c>
      <c r="D181" t="s">
        <v>179</v>
      </c>
      <c r="E181" s="10">
        <v>437.22</v>
      </c>
      <c r="F181" t="s">
        <v>30</v>
      </c>
      <c r="G181" s="14">
        <v>46023</v>
      </c>
      <c r="H181">
        <v>8346</v>
      </c>
      <c r="I181">
        <v>3649038.12</v>
      </c>
      <c r="J181">
        <v>7150</v>
      </c>
      <c r="K181" t="s">
        <v>320</v>
      </c>
      <c r="L181" s="9" t="s">
        <v>321</v>
      </c>
      <c r="M181" t="s">
        <v>50</v>
      </c>
      <c r="N181" s="12">
        <v>383.70735072239995</v>
      </c>
      <c r="O181" s="13">
        <v>0.87760704158638658</v>
      </c>
      <c r="P181" s="9" t="s">
        <v>319</v>
      </c>
      <c r="Q181">
        <v>527.25</v>
      </c>
      <c r="R181">
        <v>527.25</v>
      </c>
      <c r="S181" t="s">
        <v>39</v>
      </c>
      <c r="T181">
        <v>820.92735072239998</v>
      </c>
      <c r="U181">
        <v>6099228</v>
      </c>
      <c r="V181">
        <v>9496487.5931567233</v>
      </c>
      <c r="W181" t="s">
        <v>30</v>
      </c>
      <c r="X181" t="s">
        <v>322</v>
      </c>
      <c r="Y181" t="s">
        <v>189</v>
      </c>
      <c r="Z181" t="b">
        <v>0</v>
      </c>
      <c r="AA181" t="s">
        <v>44</v>
      </c>
      <c r="AB181" t="s">
        <v>36</v>
      </c>
      <c r="AC181" t="s">
        <v>323</v>
      </c>
    </row>
    <row r="182" spans="2:29" x14ac:dyDescent="0.35">
      <c r="B182" t="s">
        <v>324</v>
      </c>
      <c r="C182">
        <v>870.2</v>
      </c>
      <c r="D182" t="s">
        <v>179</v>
      </c>
      <c r="E182" s="10">
        <v>870.2</v>
      </c>
      <c r="F182" t="s">
        <v>30</v>
      </c>
      <c r="G182" s="14">
        <v>46023</v>
      </c>
      <c r="H182">
        <v>8561</v>
      </c>
      <c r="I182">
        <v>7449782.2000000002</v>
      </c>
      <c r="J182">
        <v>5550</v>
      </c>
      <c r="K182" t="s">
        <v>320</v>
      </c>
      <c r="L182" s="9" t="s">
        <v>321</v>
      </c>
      <c r="M182" t="s">
        <v>50</v>
      </c>
      <c r="N182" s="12">
        <v>809.92859602377609</v>
      </c>
      <c r="O182" s="13">
        <v>0.93073844636149861</v>
      </c>
      <c r="P182" s="9" t="s">
        <v>324</v>
      </c>
      <c r="Q182">
        <v>38.71</v>
      </c>
      <c r="R182">
        <v>38.71</v>
      </c>
      <c r="S182" t="s">
        <v>39</v>
      </c>
      <c r="T182">
        <v>60.271403976224001</v>
      </c>
      <c r="U182">
        <v>625940.70000000007</v>
      </c>
      <c r="V182">
        <v>974588.60229554214</v>
      </c>
      <c r="W182" t="s">
        <v>30</v>
      </c>
      <c r="X182" t="s">
        <v>322</v>
      </c>
      <c r="Y182" t="s">
        <v>325</v>
      </c>
      <c r="Z182" t="b">
        <v>0</v>
      </c>
      <c r="AA182" t="s">
        <v>44</v>
      </c>
      <c r="AB182" t="s">
        <v>36</v>
      </c>
      <c r="AC182" t="s">
        <v>323</v>
      </c>
    </row>
    <row r="183" spans="2:29" x14ac:dyDescent="0.35">
      <c r="B183" t="s">
        <v>326</v>
      </c>
      <c r="C183">
        <v>876.65</v>
      </c>
      <c r="D183" t="s">
        <v>179</v>
      </c>
      <c r="E183" s="10">
        <v>876.65</v>
      </c>
      <c r="F183" t="s">
        <v>30</v>
      </c>
      <c r="G183" s="14">
        <v>46023</v>
      </c>
      <c r="H183">
        <v>1272</v>
      </c>
      <c r="I183">
        <v>1115098.8</v>
      </c>
      <c r="J183">
        <v>6289.9</v>
      </c>
      <c r="K183" t="s">
        <v>320</v>
      </c>
      <c r="L183" s="9" t="s">
        <v>321</v>
      </c>
      <c r="M183" t="s">
        <v>50</v>
      </c>
      <c r="N183" s="12">
        <v>427.86545098009617</v>
      </c>
      <c r="O183" s="13">
        <v>0.48806872866035039</v>
      </c>
      <c r="P183" s="9" t="s">
        <v>326</v>
      </c>
      <c r="Q183">
        <v>837.84</v>
      </c>
      <c r="R183">
        <v>837.84</v>
      </c>
      <c r="S183" t="s">
        <v>39</v>
      </c>
      <c r="T183">
        <v>1304.5154509800961</v>
      </c>
      <c r="U183">
        <v>13244574.720000001</v>
      </c>
      <c r="V183">
        <v>20621780.249093361</v>
      </c>
      <c r="W183" t="s">
        <v>30</v>
      </c>
      <c r="X183" t="s">
        <v>322</v>
      </c>
      <c r="Y183" t="s">
        <v>327</v>
      </c>
      <c r="Z183" t="b">
        <v>0</v>
      </c>
      <c r="AA183" t="s">
        <v>44</v>
      </c>
      <c r="AB183" t="s">
        <v>36</v>
      </c>
      <c r="AC183" t="s">
        <v>323</v>
      </c>
    </row>
    <row r="184" spans="2:29" x14ac:dyDescent="0.35">
      <c r="B184" t="s">
        <v>328</v>
      </c>
      <c r="C184">
        <v>731.18</v>
      </c>
      <c r="D184" t="s">
        <v>29</v>
      </c>
      <c r="E184" s="10">
        <v>6793.2197247499989</v>
      </c>
      <c r="F184" t="s">
        <v>30</v>
      </c>
      <c r="G184" s="14">
        <v>46023</v>
      </c>
      <c r="H184">
        <v>19609</v>
      </c>
      <c r="I184">
        <v>14337708.619999999</v>
      </c>
      <c r="J184">
        <v>16377.291596875</v>
      </c>
      <c r="K184" t="s">
        <v>329</v>
      </c>
      <c r="L184" s="9" t="s">
        <v>330</v>
      </c>
      <c r="M184" t="s">
        <v>50</v>
      </c>
      <c r="N184" s="12">
        <v>6126.8867346785746</v>
      </c>
      <c r="O184" s="13">
        <v>0.9019120509758064</v>
      </c>
      <c r="P184" s="9" t="s">
        <v>328</v>
      </c>
      <c r="Q184">
        <v>427.96</v>
      </c>
      <c r="R184">
        <v>427.96</v>
      </c>
      <c r="S184" t="s">
        <v>39</v>
      </c>
      <c r="T184">
        <v>666.33299007142398</v>
      </c>
      <c r="U184">
        <v>7761482.5599999996</v>
      </c>
      <c r="V184">
        <v>12084615.107935345</v>
      </c>
      <c r="W184" t="s">
        <v>30</v>
      </c>
      <c r="X184" t="s">
        <v>331</v>
      </c>
      <c r="Y184" t="s">
        <v>332</v>
      </c>
      <c r="Z184" t="b">
        <v>0</v>
      </c>
      <c r="AA184" t="s">
        <v>44</v>
      </c>
      <c r="AB184" t="s">
        <v>36</v>
      </c>
      <c r="AC184" t="s">
        <v>187</v>
      </c>
    </row>
    <row r="185" spans="2:29" x14ac:dyDescent="0.35">
      <c r="B185" t="s">
        <v>333</v>
      </c>
      <c r="C185">
        <v>604.44000000000005</v>
      </c>
      <c r="D185" t="s">
        <v>29</v>
      </c>
      <c r="E185" s="10">
        <v>5615.7084855000003</v>
      </c>
      <c r="F185" t="s">
        <v>30</v>
      </c>
      <c r="G185" s="14">
        <v>46023</v>
      </c>
      <c r="H185">
        <v>1803</v>
      </c>
      <c r="I185">
        <v>1089805.32</v>
      </c>
      <c r="J185">
        <v>761554.51136250002</v>
      </c>
      <c r="K185" t="s">
        <v>303</v>
      </c>
      <c r="L185" s="9" t="s">
        <v>304</v>
      </c>
      <c r="M185" t="s">
        <v>50</v>
      </c>
      <c r="N185" s="12">
        <v>4714.0196332470723</v>
      </c>
      <c r="O185" s="13">
        <v>0.8394345335800234</v>
      </c>
      <c r="P185" s="9" t="s">
        <v>333</v>
      </c>
      <c r="Q185">
        <v>579.12</v>
      </c>
      <c r="R185">
        <v>579.12</v>
      </c>
      <c r="S185" t="s">
        <v>39</v>
      </c>
      <c r="T185">
        <v>901.68885225292797</v>
      </c>
      <c r="U185">
        <v>2867802.24</v>
      </c>
      <c r="V185">
        <v>4465163.1963564996</v>
      </c>
      <c r="W185" t="s">
        <v>30</v>
      </c>
      <c r="X185" t="s">
        <v>334</v>
      </c>
      <c r="Y185" t="s">
        <v>335</v>
      </c>
      <c r="Z185" t="b">
        <v>0</v>
      </c>
      <c r="AA185" t="s">
        <v>35</v>
      </c>
      <c r="AB185" t="s">
        <v>36</v>
      </c>
      <c r="AC185" t="s">
        <v>336</v>
      </c>
    </row>
    <row r="186" spans="2:29" x14ac:dyDescent="0.35">
      <c r="B186" t="s">
        <v>333</v>
      </c>
      <c r="C186">
        <v>27.06</v>
      </c>
      <c r="D186" t="s">
        <v>29</v>
      </c>
      <c r="E186" s="10">
        <v>251.40803324999999</v>
      </c>
      <c r="F186" t="s">
        <v>30</v>
      </c>
      <c r="G186" s="14">
        <v>46023</v>
      </c>
      <c r="H186">
        <v>19330</v>
      </c>
      <c r="I186">
        <v>523069.8</v>
      </c>
      <c r="J186">
        <v>539077.91253750003</v>
      </c>
      <c r="K186" t="s">
        <v>303</v>
      </c>
      <c r="L186" s="9" t="s">
        <v>304</v>
      </c>
      <c r="M186" t="s">
        <v>50</v>
      </c>
      <c r="N186" s="12">
        <v>161.41449452721602</v>
      </c>
      <c r="O186" s="13">
        <v>0.64204191266515953</v>
      </c>
      <c r="P186" s="9" t="s">
        <v>333</v>
      </c>
      <c r="Q186">
        <v>265.14</v>
      </c>
      <c r="R186">
        <v>265.14</v>
      </c>
      <c r="S186" t="s">
        <v>39</v>
      </c>
      <c r="T186">
        <v>412.82252777721601</v>
      </c>
      <c r="U186">
        <v>4450640.04</v>
      </c>
      <c r="V186">
        <v>6929638.9512683479</v>
      </c>
      <c r="W186" t="s">
        <v>30</v>
      </c>
      <c r="X186" t="s">
        <v>334</v>
      </c>
      <c r="Y186" t="s">
        <v>335</v>
      </c>
      <c r="Z186" t="b">
        <v>0</v>
      </c>
      <c r="AA186" t="s">
        <v>35</v>
      </c>
      <c r="AB186" t="s">
        <v>36</v>
      </c>
      <c r="AC186" t="s">
        <v>336</v>
      </c>
    </row>
    <row r="187" spans="2:29" x14ac:dyDescent="0.35">
      <c r="B187" t="s">
        <v>333</v>
      </c>
      <c r="C187">
        <v>572.62</v>
      </c>
      <c r="D187" t="s">
        <v>29</v>
      </c>
      <c r="E187" s="10">
        <v>5320.0764227499994</v>
      </c>
      <c r="F187" t="s">
        <v>30</v>
      </c>
      <c r="G187" s="14">
        <v>46023</v>
      </c>
      <c r="H187">
        <v>13882</v>
      </c>
      <c r="I187">
        <v>7949110.8399999999</v>
      </c>
      <c r="J187">
        <v>847122.43398750003</v>
      </c>
      <c r="K187" t="s">
        <v>303</v>
      </c>
      <c r="L187" s="9" t="s">
        <v>304</v>
      </c>
      <c r="M187" t="s">
        <v>50</v>
      </c>
      <c r="N187" s="12">
        <v>4488.4369237621277</v>
      </c>
      <c r="O187" s="13">
        <v>0.84367903148316259</v>
      </c>
      <c r="P187" s="9" t="s">
        <v>333</v>
      </c>
      <c r="Q187">
        <v>534.13</v>
      </c>
      <c r="R187">
        <v>534.13</v>
      </c>
      <c r="S187" t="s">
        <v>39</v>
      </c>
      <c r="T187">
        <v>831.639498987872</v>
      </c>
      <c r="U187">
        <v>10389896.76</v>
      </c>
      <c r="V187">
        <v>16177051.534312086</v>
      </c>
      <c r="W187" t="s">
        <v>30</v>
      </c>
      <c r="X187" t="s">
        <v>334</v>
      </c>
      <c r="Y187" t="s">
        <v>335</v>
      </c>
      <c r="Z187" t="b">
        <v>0</v>
      </c>
      <c r="AA187" t="s">
        <v>35</v>
      </c>
      <c r="AB187" t="s">
        <v>36</v>
      </c>
      <c r="AC187" t="s">
        <v>336</v>
      </c>
    </row>
    <row r="188" spans="2:29" x14ac:dyDescent="0.35">
      <c r="B188" t="s">
        <v>337</v>
      </c>
      <c r="C188">
        <v>360.75</v>
      </c>
      <c r="D188" t="s">
        <v>39</v>
      </c>
      <c r="E188" s="10">
        <v>561.68713470479997</v>
      </c>
      <c r="F188" t="s">
        <v>30</v>
      </c>
      <c r="G188" s="14">
        <v>46023</v>
      </c>
      <c r="H188">
        <v>10856</v>
      </c>
      <c r="I188">
        <v>3916302</v>
      </c>
      <c r="J188">
        <v>173441.020347969</v>
      </c>
      <c r="K188" t="s">
        <v>338</v>
      </c>
      <c r="L188" s="9" t="s">
        <v>339</v>
      </c>
      <c r="M188" t="s">
        <v>42</v>
      </c>
      <c r="N188" s="12">
        <v>462.80217302745598</v>
      </c>
      <c r="O188" s="13">
        <v>0.82395010395010393</v>
      </c>
      <c r="P188" s="9" t="s">
        <v>337</v>
      </c>
      <c r="Q188">
        <v>63.51</v>
      </c>
      <c r="R188">
        <v>63.51</v>
      </c>
      <c r="S188" t="s">
        <v>39</v>
      </c>
      <c r="T188">
        <v>98.884961677343995</v>
      </c>
      <c r="U188">
        <v>666855</v>
      </c>
      <c r="V188">
        <v>1038292.0976121119</v>
      </c>
      <c r="W188" t="s">
        <v>30</v>
      </c>
      <c r="X188" t="s">
        <v>340</v>
      </c>
      <c r="Y188" t="s">
        <v>341</v>
      </c>
      <c r="Z188" t="b">
        <v>0</v>
      </c>
      <c r="AA188" t="s">
        <v>44</v>
      </c>
      <c r="AB188" t="s">
        <v>45</v>
      </c>
      <c r="AC188" t="s">
        <v>158</v>
      </c>
    </row>
    <row r="189" spans="2:29" x14ac:dyDescent="0.35">
      <c r="B189" t="s">
        <v>337</v>
      </c>
      <c r="C189">
        <v>699.92</v>
      </c>
      <c r="D189" t="s">
        <v>39</v>
      </c>
      <c r="E189" s="10">
        <v>1089.7742462164479</v>
      </c>
      <c r="F189" t="s">
        <v>30</v>
      </c>
      <c r="G189" s="14">
        <v>46023</v>
      </c>
      <c r="H189">
        <v>6331</v>
      </c>
      <c r="I189">
        <v>4431193.5199999996</v>
      </c>
      <c r="J189">
        <v>37940.2232011183</v>
      </c>
      <c r="K189" t="s">
        <v>338</v>
      </c>
      <c r="L189" s="9" t="s">
        <v>339</v>
      </c>
      <c r="M189" t="s">
        <v>42</v>
      </c>
      <c r="N189" s="12">
        <v>352.97151334048021</v>
      </c>
      <c r="O189" s="13">
        <v>0.32389415933249538</v>
      </c>
      <c r="P189" s="9" t="s">
        <v>337</v>
      </c>
      <c r="Q189">
        <v>926.62</v>
      </c>
      <c r="R189">
        <v>926.62</v>
      </c>
      <c r="S189" t="s">
        <v>39</v>
      </c>
      <c r="T189">
        <v>1442.7457595569281</v>
      </c>
      <c r="U189">
        <v>12902256.880000001</v>
      </c>
      <c r="V189">
        <v>20088791.956070665</v>
      </c>
      <c r="W189" t="s">
        <v>30</v>
      </c>
      <c r="X189" t="s">
        <v>340</v>
      </c>
      <c r="Y189" t="s">
        <v>341</v>
      </c>
      <c r="Z189" t="b">
        <v>0</v>
      </c>
      <c r="AA189" t="s">
        <v>44</v>
      </c>
      <c r="AB189" t="s">
        <v>45</v>
      </c>
      <c r="AC189" t="s">
        <v>158</v>
      </c>
    </row>
    <row r="190" spans="2:29" x14ac:dyDescent="0.35">
      <c r="B190" t="s">
        <v>337</v>
      </c>
      <c r="C190">
        <v>710.85</v>
      </c>
      <c r="D190" t="s">
        <v>39</v>
      </c>
      <c r="E190" s="10">
        <v>1106.7922375742401</v>
      </c>
      <c r="F190" t="s">
        <v>30</v>
      </c>
      <c r="G190" s="14">
        <v>46023</v>
      </c>
      <c r="H190">
        <v>19146</v>
      </c>
      <c r="I190">
        <v>13609934.1</v>
      </c>
      <c r="J190">
        <v>86720.510173984701</v>
      </c>
      <c r="K190" t="s">
        <v>338</v>
      </c>
      <c r="L190" s="9" t="s">
        <v>339</v>
      </c>
      <c r="M190" t="s">
        <v>42</v>
      </c>
      <c r="N190" s="12">
        <v>657.3335399297921</v>
      </c>
      <c r="O190" s="13">
        <v>0.59390870085109382</v>
      </c>
      <c r="P190" s="9" t="s">
        <v>337</v>
      </c>
      <c r="Q190">
        <v>288.67</v>
      </c>
      <c r="R190">
        <v>288.67</v>
      </c>
      <c r="S190" t="s">
        <v>39</v>
      </c>
      <c r="T190">
        <v>449.45869764444802</v>
      </c>
      <c r="U190">
        <v>1318933.23</v>
      </c>
      <c r="V190">
        <v>2053576.7895374831</v>
      </c>
      <c r="W190" t="s">
        <v>30</v>
      </c>
      <c r="X190" t="s">
        <v>340</v>
      </c>
      <c r="Y190" t="s">
        <v>341</v>
      </c>
      <c r="Z190" t="b">
        <v>0</v>
      </c>
      <c r="AA190" t="s">
        <v>44</v>
      </c>
      <c r="AB190" t="s">
        <v>45</v>
      </c>
      <c r="AC190" t="s">
        <v>158</v>
      </c>
    </row>
    <row r="191" spans="2:29" x14ac:dyDescent="0.35">
      <c r="B191" t="s">
        <v>337</v>
      </c>
      <c r="C191">
        <v>615.55999999999995</v>
      </c>
      <c r="D191" t="s">
        <v>39</v>
      </c>
      <c r="E191" s="10">
        <v>958.4258701008639</v>
      </c>
      <c r="F191" t="s">
        <v>30</v>
      </c>
      <c r="G191" s="14">
        <v>46023</v>
      </c>
      <c r="H191">
        <v>1879</v>
      </c>
      <c r="I191">
        <v>1156637.24</v>
      </c>
      <c r="J191">
        <v>139123.60209428199</v>
      </c>
      <c r="K191" t="s">
        <v>338</v>
      </c>
      <c r="L191" s="9" t="s">
        <v>339</v>
      </c>
      <c r="M191" t="s">
        <v>42</v>
      </c>
      <c r="N191" s="12">
        <v>298.28973324115213</v>
      </c>
      <c r="O191" s="13">
        <v>0.31122879979205942</v>
      </c>
      <c r="P191" s="9" t="s">
        <v>337</v>
      </c>
      <c r="Q191">
        <v>807.14</v>
      </c>
      <c r="R191">
        <v>807.14</v>
      </c>
      <c r="S191" t="s">
        <v>39</v>
      </c>
      <c r="T191">
        <v>1256.715603342016</v>
      </c>
      <c r="U191">
        <v>657819.1</v>
      </c>
      <c r="V191">
        <v>1024223.2167237431</v>
      </c>
      <c r="W191" t="s">
        <v>30</v>
      </c>
      <c r="X191" t="s">
        <v>340</v>
      </c>
      <c r="Y191" t="s">
        <v>341</v>
      </c>
      <c r="Z191" t="b">
        <v>0</v>
      </c>
      <c r="AA191" t="s">
        <v>44</v>
      </c>
      <c r="AB191" t="s">
        <v>45</v>
      </c>
      <c r="AC191" t="s">
        <v>158</v>
      </c>
    </row>
    <row r="192" spans="2:29" x14ac:dyDescent="0.35">
      <c r="B192" t="s">
        <v>337</v>
      </c>
      <c r="C192">
        <v>125.58</v>
      </c>
      <c r="D192" t="s">
        <v>39</v>
      </c>
      <c r="E192" s="10">
        <v>195.52784581075201</v>
      </c>
      <c r="F192" t="s">
        <v>30</v>
      </c>
      <c r="G192" s="14">
        <v>46023</v>
      </c>
      <c r="H192">
        <v>16528</v>
      </c>
      <c r="I192">
        <v>2075586.24</v>
      </c>
      <c r="J192">
        <v>92140.542059858795</v>
      </c>
      <c r="K192" t="s">
        <v>338</v>
      </c>
      <c r="L192" s="9" t="s">
        <v>339</v>
      </c>
      <c r="M192" t="s">
        <v>42</v>
      </c>
      <c r="N192" s="12">
        <v>1136.188365372512</v>
      </c>
      <c r="O192" s="13">
        <v>5.8108775282688319</v>
      </c>
      <c r="P192" s="9" t="s">
        <v>337</v>
      </c>
      <c r="Q192">
        <v>855.31</v>
      </c>
      <c r="R192">
        <v>855.31</v>
      </c>
      <c r="S192" t="s">
        <v>39</v>
      </c>
      <c r="T192">
        <v>1331.716211183264</v>
      </c>
      <c r="U192">
        <v>391731.98</v>
      </c>
      <c r="V192">
        <v>609926.02472193493</v>
      </c>
      <c r="W192" t="s">
        <v>30</v>
      </c>
      <c r="X192" t="s">
        <v>340</v>
      </c>
      <c r="Y192" t="s">
        <v>341</v>
      </c>
      <c r="Z192" t="b">
        <v>0</v>
      </c>
      <c r="AA192" t="s">
        <v>44</v>
      </c>
      <c r="AB192" t="s">
        <v>45</v>
      </c>
      <c r="AC192" t="s">
        <v>158</v>
      </c>
    </row>
    <row r="193" spans="2:29" x14ac:dyDescent="0.35">
      <c r="B193" t="s">
        <v>342</v>
      </c>
      <c r="C193">
        <v>695.65</v>
      </c>
      <c r="D193" t="s">
        <v>39</v>
      </c>
      <c r="E193" s="10">
        <v>1083.1258634993601</v>
      </c>
      <c r="F193" t="s">
        <v>30</v>
      </c>
      <c r="G193" s="14">
        <v>46023</v>
      </c>
      <c r="H193">
        <v>16008</v>
      </c>
      <c r="I193">
        <v>11135965.199999999</v>
      </c>
      <c r="J193">
        <v>347.786709020128</v>
      </c>
      <c r="K193" t="s">
        <v>343</v>
      </c>
      <c r="L193" s="9" t="s">
        <v>344</v>
      </c>
      <c r="M193" t="s">
        <v>42</v>
      </c>
      <c r="N193" s="12">
        <v>1063.8190846488001</v>
      </c>
      <c r="O193" s="13">
        <v>0.98217494429670094</v>
      </c>
      <c r="P193" s="9" t="s">
        <v>342</v>
      </c>
      <c r="Q193">
        <v>12.4</v>
      </c>
      <c r="R193">
        <v>12.4</v>
      </c>
      <c r="S193" t="s">
        <v>39</v>
      </c>
      <c r="T193">
        <v>19.306778850560001</v>
      </c>
      <c r="U193">
        <v>130324</v>
      </c>
      <c r="V193">
        <v>202914.2457193856</v>
      </c>
      <c r="W193" t="s">
        <v>30</v>
      </c>
      <c r="X193" t="s">
        <v>345</v>
      </c>
      <c r="Y193" t="s">
        <v>346</v>
      </c>
      <c r="Z193" t="b">
        <v>0</v>
      </c>
      <c r="AA193" t="s">
        <v>44</v>
      </c>
      <c r="AB193" t="s">
        <v>45</v>
      </c>
      <c r="AC193" t="s">
        <v>46</v>
      </c>
    </row>
    <row r="194" spans="2:29" x14ac:dyDescent="0.35">
      <c r="B194" t="s">
        <v>342</v>
      </c>
      <c r="C194">
        <v>122.56</v>
      </c>
      <c r="D194" t="s">
        <v>39</v>
      </c>
      <c r="E194" s="10">
        <v>190.82571096166402</v>
      </c>
      <c r="F194" t="s">
        <v>30</v>
      </c>
      <c r="G194" s="14">
        <v>46023</v>
      </c>
      <c r="H194">
        <v>2407</v>
      </c>
      <c r="I194">
        <v>295001.92</v>
      </c>
      <c r="J194">
        <v>347.786709020128</v>
      </c>
      <c r="K194" t="s">
        <v>343</v>
      </c>
      <c r="L194" s="9" t="s">
        <v>344</v>
      </c>
      <c r="M194" t="s">
        <v>42</v>
      </c>
      <c r="N194" s="12">
        <v>508.11082339449598</v>
      </c>
      <c r="O194" s="13">
        <v>2.6626958224543076</v>
      </c>
      <c r="P194" s="9" t="s">
        <v>342</v>
      </c>
      <c r="Q194">
        <v>448.9</v>
      </c>
      <c r="R194">
        <v>448.9</v>
      </c>
      <c r="S194" t="s">
        <v>39</v>
      </c>
      <c r="T194">
        <v>698.93653435616</v>
      </c>
      <c r="U194">
        <v>4631750.2</v>
      </c>
      <c r="V194">
        <v>7211627.1614868585</v>
      </c>
      <c r="W194" t="s">
        <v>30</v>
      </c>
      <c r="X194" t="s">
        <v>345</v>
      </c>
      <c r="Y194" t="s">
        <v>346</v>
      </c>
      <c r="Z194" t="b">
        <v>0</v>
      </c>
      <c r="AA194" t="s">
        <v>44</v>
      </c>
      <c r="AB194" t="s">
        <v>45</v>
      </c>
      <c r="AC194" t="s">
        <v>46</v>
      </c>
    </row>
    <row r="195" spans="2:29" x14ac:dyDescent="0.35">
      <c r="B195" t="s">
        <v>342</v>
      </c>
      <c r="C195">
        <v>74.09</v>
      </c>
      <c r="D195" t="s">
        <v>39</v>
      </c>
      <c r="E195" s="10">
        <v>115.35800363209601</v>
      </c>
      <c r="F195" t="s">
        <v>30</v>
      </c>
      <c r="G195" s="14">
        <v>46023</v>
      </c>
      <c r="H195">
        <v>19061</v>
      </c>
      <c r="I195">
        <v>1412229.49</v>
      </c>
      <c r="J195">
        <v>408.93003204121601</v>
      </c>
      <c r="K195" t="s">
        <v>343</v>
      </c>
      <c r="L195" s="9" t="s">
        <v>344</v>
      </c>
      <c r="M195" t="s">
        <v>42</v>
      </c>
      <c r="N195" s="12">
        <v>759.44148807654403</v>
      </c>
      <c r="O195" s="13">
        <v>6.583344580915103</v>
      </c>
      <c r="P195" s="9" t="s">
        <v>342</v>
      </c>
      <c r="Q195">
        <v>561.85</v>
      </c>
      <c r="R195">
        <v>561.85</v>
      </c>
      <c r="S195" t="s">
        <v>39</v>
      </c>
      <c r="T195">
        <v>874.79949170864006</v>
      </c>
      <c r="U195">
        <v>3159282.5500000003</v>
      </c>
      <c r="V195">
        <v>4918997.5418776833</v>
      </c>
      <c r="W195" t="s">
        <v>30</v>
      </c>
      <c r="X195" t="s">
        <v>345</v>
      </c>
      <c r="Y195" t="s">
        <v>346</v>
      </c>
      <c r="Z195" t="b">
        <v>0</v>
      </c>
      <c r="AA195" t="s">
        <v>44</v>
      </c>
      <c r="AB195" t="s">
        <v>45</v>
      </c>
      <c r="AC195" t="s">
        <v>46</v>
      </c>
    </row>
    <row r="196" spans="2:29" x14ac:dyDescent="0.35">
      <c r="B196" t="s">
        <v>342</v>
      </c>
      <c r="C196">
        <v>604.29</v>
      </c>
      <c r="D196" t="s">
        <v>39</v>
      </c>
      <c r="E196" s="10">
        <v>940.87849932297593</v>
      </c>
      <c r="F196" t="s">
        <v>30</v>
      </c>
      <c r="G196" s="14">
        <v>46023</v>
      </c>
      <c r="H196">
        <v>3844</v>
      </c>
      <c r="I196">
        <v>2322890.7599999998</v>
      </c>
      <c r="J196">
        <v>408.93003204121601</v>
      </c>
      <c r="K196" t="s">
        <v>343</v>
      </c>
      <c r="L196" s="9" t="s">
        <v>344</v>
      </c>
      <c r="M196" t="s">
        <v>42</v>
      </c>
      <c r="N196" s="12">
        <v>363.97949128188793</v>
      </c>
      <c r="O196" s="13">
        <v>0.38685068427410674</v>
      </c>
      <c r="P196" s="9" t="s">
        <v>342</v>
      </c>
      <c r="Q196">
        <v>370.52</v>
      </c>
      <c r="R196">
        <v>370.52</v>
      </c>
      <c r="S196" t="s">
        <v>39</v>
      </c>
      <c r="T196">
        <v>576.899008041088</v>
      </c>
      <c r="U196">
        <v>1222716</v>
      </c>
      <c r="V196">
        <v>1903766.7265355904</v>
      </c>
      <c r="W196" t="s">
        <v>30</v>
      </c>
      <c r="X196" t="s">
        <v>345</v>
      </c>
      <c r="Y196" t="s">
        <v>346</v>
      </c>
      <c r="Z196" t="b">
        <v>0</v>
      </c>
      <c r="AA196" t="s">
        <v>44</v>
      </c>
      <c r="AB196" t="s">
        <v>45</v>
      </c>
      <c r="AC196" t="s">
        <v>46</v>
      </c>
    </row>
    <row r="197" spans="2:29" x14ac:dyDescent="0.35">
      <c r="B197" t="s">
        <v>347</v>
      </c>
      <c r="C197">
        <v>744.11</v>
      </c>
      <c r="D197" t="s">
        <v>39</v>
      </c>
      <c r="E197" s="10">
        <v>1158.578000845984</v>
      </c>
      <c r="F197" t="s">
        <v>30</v>
      </c>
      <c r="G197" s="14">
        <v>46023</v>
      </c>
      <c r="H197">
        <v>17040</v>
      </c>
      <c r="I197">
        <v>12679634.4</v>
      </c>
      <c r="J197">
        <v>248.02982829792001</v>
      </c>
      <c r="K197" t="s">
        <v>343</v>
      </c>
      <c r="L197" s="9" t="s">
        <v>344</v>
      </c>
      <c r="M197" t="s">
        <v>42</v>
      </c>
      <c r="N197" s="12">
        <v>709.81995243401593</v>
      </c>
      <c r="O197" s="13">
        <v>0.6126647941836556</v>
      </c>
      <c r="P197" s="9" t="s">
        <v>347</v>
      </c>
      <c r="Q197">
        <v>288.22000000000003</v>
      </c>
      <c r="R197">
        <v>288.22000000000003</v>
      </c>
      <c r="S197" t="s">
        <v>39</v>
      </c>
      <c r="T197">
        <v>448.75804841196805</v>
      </c>
      <c r="U197">
        <v>4215217.5</v>
      </c>
      <c r="V197">
        <v>6563086.4580250327</v>
      </c>
      <c r="W197" t="s">
        <v>30</v>
      </c>
      <c r="X197" t="s">
        <v>345</v>
      </c>
      <c r="Y197" t="s">
        <v>348</v>
      </c>
      <c r="Z197" t="b">
        <v>0</v>
      </c>
      <c r="AA197" t="s">
        <v>44</v>
      </c>
      <c r="AB197" t="s">
        <v>45</v>
      </c>
      <c r="AC197" t="s">
        <v>46</v>
      </c>
    </row>
    <row r="198" spans="2:29" x14ac:dyDescent="0.35">
      <c r="B198" t="s">
        <v>347</v>
      </c>
      <c r="C198">
        <v>761.76</v>
      </c>
      <c r="D198" t="s">
        <v>39</v>
      </c>
      <c r="E198" s="10">
        <v>1186.059020742144</v>
      </c>
      <c r="F198" t="s">
        <v>30</v>
      </c>
      <c r="G198" s="14">
        <v>46023</v>
      </c>
      <c r="H198">
        <v>17906</v>
      </c>
      <c r="I198">
        <v>13640074.560000001</v>
      </c>
      <c r="J198">
        <v>248.02982829792001</v>
      </c>
      <c r="K198" t="s">
        <v>343</v>
      </c>
      <c r="L198" s="9" t="s">
        <v>344</v>
      </c>
      <c r="M198" t="s">
        <v>42</v>
      </c>
      <c r="N198" s="12">
        <v>300.34497098975999</v>
      </c>
      <c r="O198" s="13">
        <v>0.25322936357908005</v>
      </c>
      <c r="P198" s="9" t="s">
        <v>347</v>
      </c>
      <c r="Q198">
        <v>954.66</v>
      </c>
      <c r="R198">
        <v>954.66</v>
      </c>
      <c r="S198" t="s">
        <v>39</v>
      </c>
      <c r="T198">
        <v>1486.4039917319039</v>
      </c>
      <c r="U198">
        <v>1789032.8399999999</v>
      </c>
      <c r="V198">
        <v>2785521.0805055881</v>
      </c>
      <c r="W198" t="s">
        <v>30</v>
      </c>
      <c r="X198" t="s">
        <v>345</v>
      </c>
      <c r="Y198" t="s">
        <v>348</v>
      </c>
      <c r="Z198" t="b">
        <v>0</v>
      </c>
      <c r="AA198" t="s">
        <v>44</v>
      </c>
      <c r="AB198" t="s">
        <v>45</v>
      </c>
      <c r="AC198" t="s">
        <v>46</v>
      </c>
    </row>
    <row r="199" spans="2:29" x14ac:dyDescent="0.35">
      <c r="B199" t="s">
        <v>347</v>
      </c>
      <c r="C199">
        <v>633.30999999999995</v>
      </c>
      <c r="D199" t="s">
        <v>39</v>
      </c>
      <c r="E199" s="10">
        <v>986.06258982646398</v>
      </c>
      <c r="F199" t="s">
        <v>30</v>
      </c>
      <c r="G199" s="14">
        <v>46023</v>
      </c>
      <c r="H199">
        <v>9541</v>
      </c>
      <c r="I199">
        <v>6042410.709999999</v>
      </c>
      <c r="J199">
        <v>248.02982829792001</v>
      </c>
      <c r="K199" t="s">
        <v>343</v>
      </c>
      <c r="L199" s="9" t="s">
        <v>344</v>
      </c>
      <c r="M199" t="s">
        <v>42</v>
      </c>
      <c r="N199" s="12">
        <v>157.02327799023999</v>
      </c>
      <c r="O199" s="13">
        <v>0.15924270894190837</v>
      </c>
      <c r="P199" s="9" t="s">
        <v>347</v>
      </c>
      <c r="Q199">
        <v>734.16</v>
      </c>
      <c r="R199">
        <v>734.16</v>
      </c>
      <c r="S199" t="s">
        <v>39</v>
      </c>
      <c r="T199">
        <v>1143.085867816704</v>
      </c>
      <c r="U199">
        <v>11632765.199999999</v>
      </c>
      <c r="V199">
        <v>18112195.575555675</v>
      </c>
      <c r="W199" t="s">
        <v>30</v>
      </c>
      <c r="X199" t="s">
        <v>345</v>
      </c>
      <c r="Y199" t="s">
        <v>348</v>
      </c>
      <c r="Z199" t="b">
        <v>0</v>
      </c>
      <c r="AA199" t="s">
        <v>44</v>
      </c>
      <c r="AB199" t="s">
        <v>45</v>
      </c>
      <c r="AC199" t="s">
        <v>46</v>
      </c>
    </row>
    <row r="200" spans="2:29" x14ac:dyDescent="0.35">
      <c r="B200" t="s">
        <v>347</v>
      </c>
      <c r="C200">
        <v>469.13</v>
      </c>
      <c r="D200" t="s">
        <v>39</v>
      </c>
      <c r="E200" s="10">
        <v>730.43460985187198</v>
      </c>
      <c r="F200" t="s">
        <v>30</v>
      </c>
      <c r="G200" s="14">
        <v>46023</v>
      </c>
      <c r="H200">
        <v>8615</v>
      </c>
      <c r="I200">
        <v>4041554.95</v>
      </c>
      <c r="J200">
        <v>291.62578054111998</v>
      </c>
      <c r="K200" t="s">
        <v>343</v>
      </c>
      <c r="L200" s="9" t="s">
        <v>344</v>
      </c>
      <c r="M200" t="s">
        <v>42</v>
      </c>
      <c r="N200" s="12">
        <v>646.7926614767041</v>
      </c>
      <c r="O200" s="13">
        <v>0.8854901626414855</v>
      </c>
      <c r="P200" s="9" t="s">
        <v>347</v>
      </c>
      <c r="Q200">
        <v>884.54</v>
      </c>
      <c r="R200">
        <v>884.54</v>
      </c>
      <c r="S200" t="s">
        <v>39</v>
      </c>
      <c r="T200">
        <v>1377.2272713285761</v>
      </c>
      <c r="U200">
        <v>2427177.7599999998</v>
      </c>
      <c r="V200">
        <v>3779111.6325256126</v>
      </c>
      <c r="W200" t="s">
        <v>30</v>
      </c>
      <c r="X200" t="s">
        <v>345</v>
      </c>
      <c r="Y200" t="s">
        <v>348</v>
      </c>
      <c r="Z200" t="b">
        <v>0</v>
      </c>
      <c r="AA200" t="s">
        <v>44</v>
      </c>
      <c r="AB200" t="s">
        <v>45</v>
      </c>
      <c r="AC200" t="s">
        <v>46</v>
      </c>
    </row>
    <row r="201" spans="2:29" x14ac:dyDescent="0.35">
      <c r="B201" t="s">
        <v>347</v>
      </c>
      <c r="C201">
        <v>509.27</v>
      </c>
      <c r="D201" t="s">
        <v>39</v>
      </c>
      <c r="E201" s="10">
        <v>792.93252138908804</v>
      </c>
      <c r="F201" t="s">
        <v>30</v>
      </c>
      <c r="G201" s="14">
        <v>46023</v>
      </c>
      <c r="H201">
        <v>14003</v>
      </c>
      <c r="I201">
        <v>7131307.8099999996</v>
      </c>
      <c r="J201">
        <v>744.08948489375996</v>
      </c>
      <c r="K201" t="s">
        <v>343</v>
      </c>
      <c r="L201" s="9" t="s">
        <v>344</v>
      </c>
      <c r="M201" t="s">
        <v>42</v>
      </c>
      <c r="N201" s="12">
        <v>214.63221488303998</v>
      </c>
      <c r="O201" s="13">
        <v>0.27068156380701786</v>
      </c>
      <c r="P201" s="9" t="s">
        <v>347</v>
      </c>
      <c r="Q201">
        <v>647.12</v>
      </c>
      <c r="R201">
        <v>647.12</v>
      </c>
      <c r="S201" t="s">
        <v>39</v>
      </c>
      <c r="T201">
        <v>1007.564736272128</v>
      </c>
      <c r="U201">
        <v>10692363.76</v>
      </c>
      <c r="V201">
        <v>16647992.137424372</v>
      </c>
      <c r="W201" t="s">
        <v>30</v>
      </c>
      <c r="X201" t="s">
        <v>345</v>
      </c>
      <c r="Y201" t="s">
        <v>348</v>
      </c>
      <c r="Z201" t="b">
        <v>0</v>
      </c>
      <c r="AA201" t="s">
        <v>44</v>
      </c>
      <c r="AB201" t="s">
        <v>45</v>
      </c>
      <c r="AC201" t="s">
        <v>46</v>
      </c>
    </row>
    <row r="202" spans="2:29" x14ac:dyDescent="0.35">
      <c r="B202" t="s">
        <v>349</v>
      </c>
      <c r="C202">
        <v>249.52</v>
      </c>
      <c r="D202" t="s">
        <v>39</v>
      </c>
      <c r="E202" s="10">
        <v>388.50221441868803</v>
      </c>
      <c r="F202" t="s">
        <v>30</v>
      </c>
      <c r="G202" s="14">
        <v>46023</v>
      </c>
      <c r="H202">
        <v>19605</v>
      </c>
      <c r="I202">
        <v>4891839.6000000006</v>
      </c>
      <c r="J202">
        <v>10253.145168282899</v>
      </c>
      <c r="K202" t="s">
        <v>350</v>
      </c>
      <c r="L202" s="9" t="s">
        <v>351</v>
      </c>
      <c r="M202" t="s">
        <v>50</v>
      </c>
      <c r="N202" s="12">
        <v>110.36003910707194</v>
      </c>
      <c r="O202" s="13">
        <v>0.28406540557871096</v>
      </c>
      <c r="P202" s="9" t="s">
        <v>349</v>
      </c>
      <c r="Q202">
        <v>320.39999999999998</v>
      </c>
      <c r="R202">
        <v>0.32039999999999996</v>
      </c>
      <c r="S202" t="s">
        <v>39</v>
      </c>
      <c r="T202">
        <v>498.86225352575997</v>
      </c>
      <c r="U202">
        <v>2902503.5999999996</v>
      </c>
      <c r="V202">
        <v>4519193.1546898596</v>
      </c>
      <c r="W202" t="s">
        <v>352</v>
      </c>
      <c r="X202" t="s">
        <v>353</v>
      </c>
      <c r="Y202" t="s">
        <v>354</v>
      </c>
      <c r="Z202" t="b">
        <v>0</v>
      </c>
      <c r="AA202" t="s">
        <v>44</v>
      </c>
      <c r="AB202" t="s">
        <v>45</v>
      </c>
      <c r="AC202" t="s">
        <v>231</v>
      </c>
    </row>
    <row r="203" spans="2:29" x14ac:dyDescent="0.35">
      <c r="B203" t="s">
        <v>355</v>
      </c>
      <c r="C203">
        <v>475.99</v>
      </c>
      <c r="D203" t="s">
        <v>39</v>
      </c>
      <c r="E203" s="10">
        <v>741.11561815145603</v>
      </c>
      <c r="F203" t="s">
        <v>30</v>
      </c>
      <c r="G203" s="14">
        <v>46023</v>
      </c>
      <c r="H203">
        <v>6465</v>
      </c>
      <c r="I203">
        <v>3077275.35</v>
      </c>
      <c r="J203">
        <v>36926.082949649302</v>
      </c>
      <c r="K203" t="s">
        <v>350</v>
      </c>
      <c r="L203" s="9" t="s">
        <v>351</v>
      </c>
      <c r="M203" t="s">
        <v>50</v>
      </c>
      <c r="N203" s="12">
        <v>180.81421192867197</v>
      </c>
      <c r="O203" s="13">
        <v>0.24397571377549943</v>
      </c>
      <c r="P203" s="9" t="s">
        <v>355</v>
      </c>
      <c r="Q203">
        <v>592.12</v>
      </c>
      <c r="R203">
        <v>0.59211999999999998</v>
      </c>
      <c r="S203" t="s">
        <v>39</v>
      </c>
      <c r="T203">
        <v>921.929830080128</v>
      </c>
      <c r="U203">
        <v>4412478.24</v>
      </c>
      <c r="V203">
        <v>6870221.0937571134</v>
      </c>
      <c r="W203" t="s">
        <v>352</v>
      </c>
      <c r="X203" t="s">
        <v>353</v>
      </c>
      <c r="Y203" t="s">
        <v>356</v>
      </c>
      <c r="Z203" t="b">
        <v>0</v>
      </c>
      <c r="AA203" t="s">
        <v>44</v>
      </c>
      <c r="AB203" t="s">
        <v>45</v>
      </c>
      <c r="AC203" t="s">
        <v>357</v>
      </c>
    </row>
    <row r="204" spans="2:29" x14ac:dyDescent="0.35">
      <c r="B204" t="s">
        <v>355</v>
      </c>
      <c r="C204">
        <v>162.97999999999999</v>
      </c>
      <c r="D204" t="s">
        <v>39</v>
      </c>
      <c r="E204" s="10">
        <v>253.75958202131199</v>
      </c>
      <c r="F204" t="s">
        <v>30</v>
      </c>
      <c r="G204" s="14">
        <v>46023</v>
      </c>
      <c r="H204">
        <v>14809</v>
      </c>
      <c r="I204">
        <v>2413570.8199999998</v>
      </c>
      <c r="J204">
        <v>2461.8011432417302</v>
      </c>
      <c r="K204" t="s">
        <v>350</v>
      </c>
      <c r="L204" s="9" t="s">
        <v>351</v>
      </c>
      <c r="M204" t="s">
        <v>50</v>
      </c>
      <c r="N204" s="12">
        <v>297.02856462268801</v>
      </c>
      <c r="O204" s="13">
        <v>1.1705117192293535</v>
      </c>
      <c r="P204" s="9" t="s">
        <v>355</v>
      </c>
      <c r="Q204">
        <v>353.75</v>
      </c>
      <c r="R204">
        <v>0.35375000000000001</v>
      </c>
      <c r="S204" t="s">
        <v>39</v>
      </c>
      <c r="T204">
        <v>550.78814664399999</v>
      </c>
      <c r="U204">
        <v>6891403.75</v>
      </c>
      <c r="V204">
        <v>10729903.884771764</v>
      </c>
      <c r="W204" t="s">
        <v>352</v>
      </c>
      <c r="X204" t="s">
        <v>353</v>
      </c>
      <c r="Y204" t="s">
        <v>356</v>
      </c>
      <c r="Z204" t="b">
        <v>0</v>
      </c>
      <c r="AA204" t="s">
        <v>44</v>
      </c>
      <c r="AB204" t="s">
        <v>45</v>
      </c>
      <c r="AC204" t="s">
        <v>357</v>
      </c>
    </row>
    <row r="205" spans="2:29" x14ac:dyDescent="0.35">
      <c r="B205" t="s">
        <v>355</v>
      </c>
      <c r="C205">
        <v>793.43</v>
      </c>
      <c r="D205" t="s">
        <v>39</v>
      </c>
      <c r="E205" s="10">
        <v>1235.369156725792</v>
      </c>
      <c r="F205" t="s">
        <v>30</v>
      </c>
      <c r="G205" s="14">
        <v>46023</v>
      </c>
      <c r="H205">
        <v>11450</v>
      </c>
      <c r="I205">
        <v>9084773.5</v>
      </c>
      <c r="J205">
        <v>34464.344086339297</v>
      </c>
      <c r="K205" t="s">
        <v>350</v>
      </c>
      <c r="L205" s="9" t="s">
        <v>351</v>
      </c>
      <c r="M205" t="s">
        <v>50</v>
      </c>
      <c r="N205" s="12">
        <v>891.25696368044805</v>
      </c>
      <c r="O205" s="13">
        <v>0.72144990736422876</v>
      </c>
      <c r="P205" s="9" t="s">
        <v>355</v>
      </c>
      <c r="Q205">
        <v>221.01</v>
      </c>
      <c r="R205">
        <v>0.22100999999999998</v>
      </c>
      <c r="S205" t="s">
        <v>39</v>
      </c>
      <c r="T205">
        <v>344.11219304534399</v>
      </c>
      <c r="U205">
        <v>933988.26</v>
      </c>
      <c r="V205">
        <v>1454218.1278096237</v>
      </c>
      <c r="W205" t="s">
        <v>352</v>
      </c>
      <c r="X205" t="s">
        <v>353</v>
      </c>
      <c r="Y205" t="s">
        <v>356</v>
      </c>
      <c r="Z205" t="b">
        <v>0</v>
      </c>
      <c r="AA205" t="s">
        <v>44</v>
      </c>
      <c r="AB205" t="s">
        <v>45</v>
      </c>
      <c r="AC205" t="s">
        <v>357</v>
      </c>
    </row>
    <row r="206" spans="2:29" x14ac:dyDescent="0.35">
      <c r="B206" t="s">
        <v>358</v>
      </c>
      <c r="C206">
        <v>240.84</v>
      </c>
      <c r="D206" t="s">
        <v>39</v>
      </c>
      <c r="E206" s="10">
        <v>374.98746922329599</v>
      </c>
      <c r="F206" t="s">
        <v>30</v>
      </c>
      <c r="G206" s="14">
        <v>46023</v>
      </c>
      <c r="H206">
        <v>17167</v>
      </c>
      <c r="I206">
        <v>4134500.2800000003</v>
      </c>
      <c r="J206">
        <v>5876.7343623833603</v>
      </c>
      <c r="K206" t="s">
        <v>350</v>
      </c>
      <c r="L206" s="9" t="s">
        <v>351</v>
      </c>
      <c r="M206" t="s">
        <v>50</v>
      </c>
      <c r="N206" s="12">
        <v>197.10041408809604</v>
      </c>
      <c r="O206" s="13">
        <v>0.52561866799534973</v>
      </c>
      <c r="P206" s="9" t="s">
        <v>358</v>
      </c>
      <c r="Q206">
        <v>367.43</v>
      </c>
      <c r="R206">
        <v>0.36743000000000003</v>
      </c>
      <c r="S206" t="s">
        <v>39</v>
      </c>
      <c r="T206">
        <v>572.08788331139203</v>
      </c>
      <c r="U206">
        <v>6372338.4900000002</v>
      </c>
      <c r="V206">
        <v>9921720.1602694727</v>
      </c>
      <c r="W206" t="s">
        <v>352</v>
      </c>
      <c r="X206" t="s">
        <v>353</v>
      </c>
      <c r="Y206" t="s">
        <v>359</v>
      </c>
      <c r="Z206" t="b">
        <v>0</v>
      </c>
      <c r="AA206" t="s">
        <v>44</v>
      </c>
      <c r="AB206" t="s">
        <v>45</v>
      </c>
      <c r="AC206" t="s">
        <v>357</v>
      </c>
    </row>
    <row r="207" spans="2:29" x14ac:dyDescent="0.35">
      <c r="B207" t="s">
        <v>358</v>
      </c>
      <c r="C207">
        <v>213.07</v>
      </c>
      <c r="D207" t="s">
        <v>39</v>
      </c>
      <c r="E207" s="10">
        <v>331.749626587808</v>
      </c>
      <c r="F207" t="s">
        <v>30</v>
      </c>
      <c r="G207" s="14">
        <v>46023</v>
      </c>
      <c r="H207">
        <v>18595</v>
      </c>
      <c r="I207">
        <v>3962036.65</v>
      </c>
      <c r="J207">
        <v>58767.3436238336</v>
      </c>
      <c r="K207" t="s">
        <v>350</v>
      </c>
      <c r="L207" s="9" t="s">
        <v>351</v>
      </c>
      <c r="M207" t="s">
        <v>50</v>
      </c>
      <c r="N207" s="12">
        <v>379.82973391887998</v>
      </c>
      <c r="O207" s="13">
        <v>1.144928896606749</v>
      </c>
      <c r="P207" s="9" t="s">
        <v>358</v>
      </c>
      <c r="Q207">
        <v>457.02</v>
      </c>
      <c r="R207">
        <v>0.45701999999999998</v>
      </c>
      <c r="S207" t="s">
        <v>39</v>
      </c>
      <c r="T207">
        <v>711.57936050668798</v>
      </c>
      <c r="U207">
        <v>7194865.8599999994</v>
      </c>
      <c r="V207">
        <v>11202393.872456789</v>
      </c>
      <c r="W207" t="s">
        <v>352</v>
      </c>
      <c r="X207" t="s">
        <v>353</v>
      </c>
      <c r="Y207" t="s">
        <v>359</v>
      </c>
      <c r="Z207" t="b">
        <v>0</v>
      </c>
      <c r="AA207" t="s">
        <v>44</v>
      </c>
      <c r="AB207" t="s">
        <v>45</v>
      </c>
      <c r="AC207" t="s">
        <v>357</v>
      </c>
    </row>
    <row r="208" spans="2:29" x14ac:dyDescent="0.35">
      <c r="B208" t="s">
        <v>358</v>
      </c>
      <c r="C208">
        <v>362.2</v>
      </c>
      <c r="D208" t="s">
        <v>39</v>
      </c>
      <c r="E208" s="10">
        <v>563.94478223168005</v>
      </c>
      <c r="F208" t="s">
        <v>30</v>
      </c>
      <c r="G208" s="14">
        <v>46054</v>
      </c>
      <c r="H208">
        <v>4899</v>
      </c>
      <c r="I208">
        <v>1774417.8</v>
      </c>
      <c r="J208">
        <v>14691.8359059584</v>
      </c>
      <c r="K208" t="s">
        <v>350</v>
      </c>
      <c r="L208" s="9" t="s">
        <v>351</v>
      </c>
      <c r="M208" t="s">
        <v>50</v>
      </c>
      <c r="N208" s="12">
        <v>184.87797747705605</v>
      </c>
      <c r="O208" s="13">
        <v>0.32782992821645507</v>
      </c>
      <c r="P208" s="9" t="s">
        <v>358</v>
      </c>
      <c r="Q208">
        <v>243.46</v>
      </c>
      <c r="R208">
        <v>0.24346000000000001</v>
      </c>
      <c r="S208" t="s">
        <v>39</v>
      </c>
      <c r="T208">
        <v>379.066804754624</v>
      </c>
      <c r="U208">
        <v>4054582.8400000003</v>
      </c>
      <c r="V208">
        <v>6312978.566383508</v>
      </c>
      <c r="W208" t="s">
        <v>352</v>
      </c>
      <c r="X208" t="s">
        <v>353</v>
      </c>
      <c r="Y208" t="s">
        <v>359</v>
      </c>
      <c r="Z208" t="b">
        <v>0</v>
      </c>
      <c r="AA208" t="s">
        <v>44</v>
      </c>
      <c r="AB208" t="s">
        <v>45</v>
      </c>
      <c r="AC208" t="s">
        <v>357</v>
      </c>
    </row>
    <row r="209" spans="2:29" x14ac:dyDescent="0.35">
      <c r="B209" t="s">
        <v>358</v>
      </c>
      <c r="C209">
        <v>413.9</v>
      </c>
      <c r="D209" t="s">
        <v>39</v>
      </c>
      <c r="E209" s="10">
        <v>644.44159405215999</v>
      </c>
      <c r="F209" t="s">
        <v>30</v>
      </c>
      <c r="G209" s="14">
        <v>46054</v>
      </c>
      <c r="H209">
        <v>2020</v>
      </c>
      <c r="I209">
        <v>836078</v>
      </c>
      <c r="J209">
        <v>8815.1015435750396</v>
      </c>
      <c r="K209" t="s">
        <v>350</v>
      </c>
      <c r="L209" s="9" t="s">
        <v>351</v>
      </c>
      <c r="M209" t="s">
        <v>50</v>
      </c>
      <c r="N209" s="12">
        <v>18.964239225791971</v>
      </c>
      <c r="O209" s="13">
        <v>2.9427397922203388E-2</v>
      </c>
      <c r="P209" s="9" t="s">
        <v>358</v>
      </c>
      <c r="Q209">
        <v>426.08</v>
      </c>
      <c r="R209">
        <v>0.42607999999999996</v>
      </c>
      <c r="S209" t="s">
        <v>39</v>
      </c>
      <c r="T209">
        <v>663.40583327795196</v>
      </c>
      <c r="U209">
        <v>8233996</v>
      </c>
      <c r="V209">
        <v>12820317.728096422</v>
      </c>
      <c r="W209" t="s">
        <v>352</v>
      </c>
      <c r="X209" t="s">
        <v>353</v>
      </c>
      <c r="Y209" t="s">
        <v>359</v>
      </c>
      <c r="Z209" t="b">
        <v>0</v>
      </c>
      <c r="AA209" t="s">
        <v>44</v>
      </c>
      <c r="AB209" t="s">
        <v>45</v>
      </c>
      <c r="AC209" t="s">
        <v>357</v>
      </c>
    </row>
    <row r="210" spans="2:29" x14ac:dyDescent="0.35">
      <c r="B210" t="s">
        <v>358</v>
      </c>
      <c r="C210">
        <v>133.41</v>
      </c>
      <c r="D210" t="s">
        <v>39</v>
      </c>
      <c r="E210" s="10">
        <v>207.71914245590401</v>
      </c>
      <c r="F210" t="s">
        <v>30</v>
      </c>
      <c r="G210" s="14">
        <v>46054</v>
      </c>
      <c r="H210">
        <v>2528</v>
      </c>
      <c r="I210">
        <v>337260.48</v>
      </c>
      <c r="J210">
        <v>5876.7343623833603</v>
      </c>
      <c r="K210" t="s">
        <v>350</v>
      </c>
      <c r="L210" s="9" t="s">
        <v>351</v>
      </c>
      <c r="M210" t="s">
        <v>50</v>
      </c>
      <c r="N210" s="12">
        <v>1303.1297224980801</v>
      </c>
      <c r="O210" s="13">
        <v>6.2735177273067988</v>
      </c>
      <c r="P210" s="9" t="s">
        <v>358</v>
      </c>
      <c r="Q210">
        <v>970.36</v>
      </c>
      <c r="R210">
        <v>0.97036</v>
      </c>
      <c r="S210" t="s">
        <v>39</v>
      </c>
      <c r="T210">
        <v>1510.848864953984</v>
      </c>
      <c r="U210">
        <v>9964626.8399999999</v>
      </c>
      <c r="V210">
        <v>15514906.994212462</v>
      </c>
      <c r="W210" t="s">
        <v>352</v>
      </c>
      <c r="X210" t="s">
        <v>353</v>
      </c>
      <c r="Y210" t="s">
        <v>359</v>
      </c>
      <c r="Z210" t="b">
        <v>0</v>
      </c>
      <c r="AA210" t="s">
        <v>44</v>
      </c>
      <c r="AB210" t="s">
        <v>45</v>
      </c>
      <c r="AC210" t="s">
        <v>357</v>
      </c>
    </row>
    <row r="211" spans="2:29" x14ac:dyDescent="0.35">
      <c r="B211" t="s">
        <v>358</v>
      </c>
      <c r="C211">
        <v>475.29</v>
      </c>
      <c r="D211" t="s">
        <v>39</v>
      </c>
      <c r="E211" s="10">
        <v>740.02571934537605</v>
      </c>
      <c r="F211" t="s">
        <v>30</v>
      </c>
      <c r="G211" s="14">
        <v>46054</v>
      </c>
      <c r="H211">
        <v>2906</v>
      </c>
      <c r="I211">
        <v>1381192.74</v>
      </c>
      <c r="J211">
        <v>8815.1015435750396</v>
      </c>
      <c r="K211" t="s">
        <v>350</v>
      </c>
      <c r="L211" s="9" t="s">
        <v>351</v>
      </c>
      <c r="M211" t="s">
        <v>50</v>
      </c>
      <c r="N211" s="12">
        <v>457.27482908233605</v>
      </c>
      <c r="O211" s="13">
        <v>0.61791748195838336</v>
      </c>
      <c r="P211" s="9" t="s">
        <v>358</v>
      </c>
      <c r="Q211">
        <v>768.98</v>
      </c>
      <c r="R211">
        <v>0.76898</v>
      </c>
      <c r="S211" t="s">
        <v>39</v>
      </c>
      <c r="T211">
        <v>1197.3005484277121</v>
      </c>
      <c r="U211">
        <v>6979262.4800000004</v>
      </c>
      <c r="V211">
        <v>10866699.777529916</v>
      </c>
      <c r="W211" t="s">
        <v>352</v>
      </c>
      <c r="X211" t="s">
        <v>353</v>
      </c>
      <c r="Y211" t="s">
        <v>359</v>
      </c>
      <c r="Z211" t="b">
        <v>0</v>
      </c>
      <c r="AA211" t="s">
        <v>44</v>
      </c>
      <c r="AB211" t="s">
        <v>45</v>
      </c>
      <c r="AC211" t="s">
        <v>357</v>
      </c>
    </row>
    <row r="212" spans="2:29" x14ac:dyDescent="0.35">
      <c r="B212" t="s">
        <v>360</v>
      </c>
      <c r="C212">
        <v>369.16</v>
      </c>
      <c r="D212" t="s">
        <v>39</v>
      </c>
      <c r="E212" s="10">
        <v>574.78149036070408</v>
      </c>
      <c r="F212" t="s">
        <v>30</v>
      </c>
      <c r="G212" s="14">
        <v>46054</v>
      </c>
      <c r="H212">
        <v>16336</v>
      </c>
      <c r="I212">
        <v>6030597.7600000007</v>
      </c>
      <c r="J212">
        <v>11187.966944240599</v>
      </c>
      <c r="K212" t="s">
        <v>350</v>
      </c>
      <c r="L212" s="9" t="s">
        <v>351</v>
      </c>
      <c r="M212" t="s">
        <v>50</v>
      </c>
      <c r="N212" s="12">
        <v>730.52802974953602</v>
      </c>
      <c r="O212" s="13">
        <v>1.2709665185827281</v>
      </c>
      <c r="P212" s="9" t="s">
        <v>360</v>
      </c>
      <c r="Q212">
        <v>838.35</v>
      </c>
      <c r="R212">
        <v>0.83835000000000004</v>
      </c>
      <c r="S212" t="s">
        <v>39</v>
      </c>
      <c r="T212">
        <v>1305.3095201102401</v>
      </c>
      <c r="U212">
        <v>1344713.4000000001</v>
      </c>
      <c r="V212">
        <v>2093716.4702568252</v>
      </c>
      <c r="W212" t="s">
        <v>352</v>
      </c>
      <c r="X212" t="s">
        <v>353</v>
      </c>
      <c r="Y212" t="s">
        <v>361</v>
      </c>
      <c r="Z212" t="b">
        <v>0</v>
      </c>
      <c r="AA212" t="s">
        <v>44</v>
      </c>
      <c r="AB212" t="s">
        <v>45</v>
      </c>
      <c r="AC212" t="s">
        <v>362</v>
      </c>
    </row>
    <row r="213" spans="2:29" x14ac:dyDescent="0.35">
      <c r="B213" t="s">
        <v>363</v>
      </c>
      <c r="C213">
        <v>479.05</v>
      </c>
      <c r="D213" t="s">
        <v>39</v>
      </c>
      <c r="E213" s="10">
        <v>745.88003293232009</v>
      </c>
      <c r="F213" t="s">
        <v>30</v>
      </c>
      <c r="G213" s="14">
        <v>46054</v>
      </c>
      <c r="H213">
        <v>14526</v>
      </c>
      <c r="I213">
        <v>6958680.2999999998</v>
      </c>
      <c r="J213">
        <v>2083.7308173955198</v>
      </c>
      <c r="K213" t="s">
        <v>350</v>
      </c>
      <c r="L213" s="9" t="s">
        <v>351</v>
      </c>
      <c r="M213" t="s">
        <v>50</v>
      </c>
      <c r="N213" s="12">
        <v>642.6666159965439</v>
      </c>
      <c r="O213" s="13">
        <v>0.8616219601294226</v>
      </c>
      <c r="P213" s="9" t="s">
        <v>363</v>
      </c>
      <c r="Q213">
        <v>891.81</v>
      </c>
      <c r="R213">
        <v>0.89180999999999999</v>
      </c>
      <c r="S213" t="s">
        <v>39</v>
      </c>
      <c r="T213">
        <v>1388.546648928864</v>
      </c>
      <c r="U213">
        <v>14367059.1</v>
      </c>
      <c r="V213">
        <v>22369486.514243998</v>
      </c>
      <c r="W213" t="s">
        <v>352</v>
      </c>
      <c r="X213" t="s">
        <v>353</v>
      </c>
      <c r="Y213" t="s">
        <v>364</v>
      </c>
      <c r="Z213" t="b">
        <v>0</v>
      </c>
      <c r="AA213" t="s">
        <v>44</v>
      </c>
      <c r="AB213" t="s">
        <v>45</v>
      </c>
      <c r="AC213" t="s">
        <v>231</v>
      </c>
    </row>
    <row r="214" spans="2:29" x14ac:dyDescent="0.35">
      <c r="B214" t="s">
        <v>363</v>
      </c>
      <c r="C214">
        <v>484.18</v>
      </c>
      <c r="D214" t="s">
        <v>39</v>
      </c>
      <c r="E214" s="10">
        <v>753.86743418259198</v>
      </c>
      <c r="F214" t="s">
        <v>30</v>
      </c>
      <c r="G214" s="14">
        <v>46054</v>
      </c>
      <c r="H214">
        <v>18312</v>
      </c>
      <c r="I214">
        <v>8866304.1600000001</v>
      </c>
      <c r="J214">
        <v>2778.3077565273602</v>
      </c>
      <c r="K214" t="s">
        <v>350</v>
      </c>
      <c r="L214" s="9" t="s">
        <v>351</v>
      </c>
      <c r="M214" t="s">
        <v>50</v>
      </c>
      <c r="N214" s="12">
        <v>609.06659280339204</v>
      </c>
      <c r="O214" s="13">
        <v>0.80792267338593093</v>
      </c>
      <c r="P214" s="9" t="s">
        <v>363</v>
      </c>
      <c r="Q214">
        <v>93</v>
      </c>
      <c r="R214">
        <v>9.2999999999999999E-2</v>
      </c>
      <c r="S214" t="s">
        <v>39</v>
      </c>
      <c r="T214">
        <v>144.80084137919999</v>
      </c>
      <c r="U214">
        <v>1771557</v>
      </c>
      <c r="V214">
        <v>2758311.2274323809</v>
      </c>
      <c r="W214" t="s">
        <v>352</v>
      </c>
      <c r="X214" t="s">
        <v>353</v>
      </c>
      <c r="Y214" t="s">
        <v>364</v>
      </c>
      <c r="Z214" t="b">
        <v>0</v>
      </c>
      <c r="AA214" t="s">
        <v>44</v>
      </c>
      <c r="AB214" t="s">
        <v>45</v>
      </c>
      <c r="AC214" t="s">
        <v>231</v>
      </c>
    </row>
    <row r="215" spans="2:29" x14ac:dyDescent="0.35">
      <c r="B215" t="s">
        <v>365</v>
      </c>
      <c r="C215">
        <v>258.73</v>
      </c>
      <c r="D215" t="s">
        <v>39</v>
      </c>
      <c r="E215" s="10">
        <v>402.84216871011205</v>
      </c>
      <c r="F215" t="s">
        <v>30</v>
      </c>
      <c r="G215" s="14">
        <v>46054</v>
      </c>
      <c r="H215">
        <v>10370</v>
      </c>
      <c r="I215">
        <v>2683030.1</v>
      </c>
      <c r="J215">
        <v>6244.6530593500802</v>
      </c>
      <c r="K215" t="s">
        <v>350</v>
      </c>
      <c r="L215" s="9" t="s">
        <v>351</v>
      </c>
      <c r="M215" t="s">
        <v>50</v>
      </c>
      <c r="N215" s="12">
        <v>854.88548352326393</v>
      </c>
      <c r="O215" s="13">
        <v>2.1221350442546281</v>
      </c>
      <c r="P215" s="9" t="s">
        <v>365</v>
      </c>
      <c r="Q215">
        <v>807.79</v>
      </c>
      <c r="R215">
        <v>0.80779000000000001</v>
      </c>
      <c r="S215" t="s">
        <v>39</v>
      </c>
      <c r="T215">
        <v>1257.7276522333759</v>
      </c>
      <c r="U215">
        <v>3914550.34</v>
      </c>
      <c r="V215">
        <v>6094948.2027229397</v>
      </c>
      <c r="W215" t="s">
        <v>352</v>
      </c>
      <c r="X215" t="s">
        <v>353</v>
      </c>
      <c r="Y215" t="s">
        <v>366</v>
      </c>
      <c r="Z215" t="b">
        <v>0</v>
      </c>
      <c r="AA215" t="s">
        <v>44</v>
      </c>
      <c r="AB215" t="s">
        <v>45</v>
      </c>
      <c r="AC215" t="s">
        <v>231</v>
      </c>
    </row>
    <row r="216" spans="2:29" x14ac:dyDescent="0.35">
      <c r="B216" t="s">
        <v>365</v>
      </c>
      <c r="C216">
        <v>917.39</v>
      </c>
      <c r="D216" t="s">
        <v>39</v>
      </c>
      <c r="E216" s="10">
        <v>1428.374665299616</v>
      </c>
      <c r="F216" t="s">
        <v>30</v>
      </c>
      <c r="G216" s="14">
        <v>46054</v>
      </c>
      <c r="H216">
        <v>12195</v>
      </c>
      <c r="I216">
        <v>11187571.050000001</v>
      </c>
      <c r="J216">
        <v>11448.5306088085</v>
      </c>
      <c r="K216" t="s">
        <v>350</v>
      </c>
      <c r="L216" s="9" t="s">
        <v>351</v>
      </c>
      <c r="M216" t="s">
        <v>50</v>
      </c>
      <c r="N216" s="12">
        <v>85.276796584287922</v>
      </c>
      <c r="O216" s="13">
        <v>5.9701980618929736E-2</v>
      </c>
      <c r="P216" s="9" t="s">
        <v>365</v>
      </c>
      <c r="Q216">
        <v>862.62</v>
      </c>
      <c r="R216">
        <v>0.86262000000000005</v>
      </c>
      <c r="S216" t="s">
        <v>39</v>
      </c>
      <c r="T216">
        <v>1343.0978687153281</v>
      </c>
      <c r="U216">
        <v>1112779.8</v>
      </c>
      <c r="V216">
        <v>1732596.2506427732</v>
      </c>
      <c r="W216" t="s">
        <v>352</v>
      </c>
      <c r="X216" t="s">
        <v>353</v>
      </c>
      <c r="Y216" t="s">
        <v>366</v>
      </c>
      <c r="Z216" t="b">
        <v>0</v>
      </c>
      <c r="AA216" t="s">
        <v>44</v>
      </c>
      <c r="AB216" t="s">
        <v>45</v>
      </c>
      <c r="AC216" t="s">
        <v>231</v>
      </c>
    </row>
    <row r="217" spans="2:29" x14ac:dyDescent="0.35">
      <c r="B217" t="s">
        <v>367</v>
      </c>
      <c r="C217">
        <v>547.91999999999996</v>
      </c>
      <c r="D217" t="s">
        <v>39</v>
      </c>
      <c r="E217" s="10">
        <v>853.11050546764795</v>
      </c>
      <c r="F217" t="s">
        <v>30</v>
      </c>
      <c r="G217" s="14">
        <v>46054</v>
      </c>
      <c r="H217">
        <v>2755</v>
      </c>
      <c r="I217">
        <v>1509519.5999999999</v>
      </c>
      <c r="J217">
        <v>8041.8961905759998</v>
      </c>
      <c r="K217" t="s">
        <v>350</v>
      </c>
      <c r="L217" s="9" t="s">
        <v>351</v>
      </c>
      <c r="M217" t="s">
        <v>50</v>
      </c>
      <c r="N217" s="12">
        <v>211.93860783372793</v>
      </c>
      <c r="O217" s="13">
        <v>0.24843042779967872</v>
      </c>
      <c r="P217" s="9" t="s">
        <v>367</v>
      </c>
      <c r="Q217">
        <v>684.04</v>
      </c>
      <c r="R217">
        <v>0.68403999999999998</v>
      </c>
      <c r="S217" t="s">
        <v>39</v>
      </c>
      <c r="T217">
        <v>1065.0491133013759</v>
      </c>
      <c r="U217">
        <v>7841834.5599999996</v>
      </c>
      <c r="V217">
        <v>12209723.034886973</v>
      </c>
      <c r="W217" t="s">
        <v>352</v>
      </c>
      <c r="X217" t="s">
        <v>353</v>
      </c>
      <c r="Y217" t="s">
        <v>368</v>
      </c>
      <c r="Z217" t="b">
        <v>0</v>
      </c>
      <c r="AA217" t="s">
        <v>44</v>
      </c>
      <c r="AB217" t="s">
        <v>45</v>
      </c>
      <c r="AC217" t="s">
        <v>231</v>
      </c>
    </row>
    <row r="218" spans="2:29" x14ac:dyDescent="0.35">
      <c r="B218" t="s">
        <v>369</v>
      </c>
      <c r="C218">
        <v>717.56</v>
      </c>
      <c r="D218" t="s">
        <v>39</v>
      </c>
      <c r="E218" s="10">
        <v>1117.239696129664</v>
      </c>
      <c r="F218" t="s">
        <v>352</v>
      </c>
      <c r="G218" s="14">
        <v>46054</v>
      </c>
      <c r="H218">
        <v>18957</v>
      </c>
      <c r="I218">
        <v>13602784.919999998</v>
      </c>
      <c r="J218">
        <v>8280.1169296192002</v>
      </c>
      <c r="K218" t="s">
        <v>350</v>
      </c>
      <c r="L218" s="9" t="s">
        <v>351</v>
      </c>
      <c r="M218" t="s">
        <v>50</v>
      </c>
      <c r="N218" s="12">
        <v>462.63090321507195</v>
      </c>
      <c r="O218" s="13">
        <v>0.41408383967891182</v>
      </c>
      <c r="P218" s="9" t="s">
        <v>369</v>
      </c>
      <c r="Q218">
        <v>420.43</v>
      </c>
      <c r="R218">
        <v>420.43</v>
      </c>
      <c r="S218" t="s">
        <v>39</v>
      </c>
      <c r="T218">
        <v>654.60879291459207</v>
      </c>
      <c r="U218">
        <v>7066167.0099999998</v>
      </c>
      <c r="V218">
        <v>11002009.982515549</v>
      </c>
      <c r="W218" t="s">
        <v>30</v>
      </c>
      <c r="X218" t="s">
        <v>353</v>
      </c>
      <c r="Y218" t="s">
        <v>370</v>
      </c>
      <c r="Z218" t="b">
        <v>0</v>
      </c>
      <c r="AA218" t="s">
        <v>44</v>
      </c>
      <c r="AB218" t="s">
        <v>45</v>
      </c>
      <c r="AC218" t="s">
        <v>231</v>
      </c>
    </row>
    <row r="219" spans="2:29" x14ac:dyDescent="0.35">
      <c r="B219" t="s">
        <v>369</v>
      </c>
      <c r="C219">
        <v>937.61</v>
      </c>
      <c r="D219" t="s">
        <v>39</v>
      </c>
      <c r="E219" s="10">
        <v>1459.8571708123841</v>
      </c>
      <c r="F219" t="s">
        <v>352</v>
      </c>
      <c r="G219" s="14">
        <v>46054</v>
      </c>
      <c r="H219">
        <v>17276</v>
      </c>
      <c r="I219">
        <v>16198150.359999999</v>
      </c>
      <c r="J219">
        <v>8280.1169296192002</v>
      </c>
      <c r="K219" t="s">
        <v>350</v>
      </c>
      <c r="L219" s="9" t="s">
        <v>351</v>
      </c>
      <c r="M219" t="s">
        <v>50</v>
      </c>
      <c r="N219" s="12">
        <v>30.034497098975862</v>
      </c>
      <c r="O219" s="13">
        <v>2.0573586032572082E-2</v>
      </c>
      <c r="P219" s="9" t="s">
        <v>369</v>
      </c>
      <c r="Q219">
        <v>918.32</v>
      </c>
      <c r="R219">
        <v>918.32</v>
      </c>
      <c r="S219" t="s">
        <v>39</v>
      </c>
      <c r="T219">
        <v>1429.8226737134082</v>
      </c>
      <c r="U219">
        <v>2743940.16</v>
      </c>
      <c r="V219">
        <v>4272310.1490556635</v>
      </c>
      <c r="W219" t="s">
        <v>30</v>
      </c>
      <c r="X219" t="s">
        <v>353</v>
      </c>
      <c r="Y219" t="s">
        <v>370</v>
      </c>
      <c r="Z219" t="b">
        <v>0</v>
      </c>
      <c r="AA219" t="s">
        <v>44</v>
      </c>
      <c r="AB219" t="s">
        <v>45</v>
      </c>
      <c r="AC219" t="s">
        <v>231</v>
      </c>
    </row>
    <row r="220" spans="2:29" x14ac:dyDescent="0.35">
      <c r="B220" t="s">
        <v>369</v>
      </c>
      <c r="C220">
        <v>336.73</v>
      </c>
      <c r="D220" t="s">
        <v>39</v>
      </c>
      <c r="E220" s="10">
        <v>524.28803567331204</v>
      </c>
      <c r="F220" t="s">
        <v>352</v>
      </c>
      <c r="G220" s="14">
        <v>46054</v>
      </c>
      <c r="H220">
        <v>12143</v>
      </c>
      <c r="I220">
        <v>4088912.39</v>
      </c>
      <c r="J220">
        <v>12420.175394428799</v>
      </c>
      <c r="K220" t="s">
        <v>350</v>
      </c>
      <c r="L220" s="9" t="s">
        <v>351</v>
      </c>
      <c r="M220" t="s">
        <v>50</v>
      </c>
      <c r="N220" s="12">
        <v>305.96573483254394</v>
      </c>
      <c r="O220" s="13">
        <v>0.58358328631247569</v>
      </c>
      <c r="P220" s="9" t="s">
        <v>369</v>
      </c>
      <c r="Q220">
        <v>533.24</v>
      </c>
      <c r="R220">
        <v>533.24</v>
      </c>
      <c r="S220" t="s">
        <v>39</v>
      </c>
      <c r="T220">
        <v>830.25377050585598</v>
      </c>
      <c r="U220">
        <v>1737829.16</v>
      </c>
      <c r="V220">
        <v>2705797.0380785847</v>
      </c>
      <c r="W220" t="s">
        <v>30</v>
      </c>
      <c r="X220" t="s">
        <v>353</v>
      </c>
      <c r="Y220" t="s">
        <v>370</v>
      </c>
      <c r="Z220" t="b">
        <v>0</v>
      </c>
      <c r="AA220" t="s">
        <v>44</v>
      </c>
      <c r="AB220" t="s">
        <v>45</v>
      </c>
      <c r="AC220" t="s">
        <v>231</v>
      </c>
    </row>
    <row r="221" spans="2:29" x14ac:dyDescent="0.35">
      <c r="B221" t="s">
        <v>369</v>
      </c>
      <c r="C221">
        <v>96.24</v>
      </c>
      <c r="D221" t="s">
        <v>39</v>
      </c>
      <c r="E221" s="10">
        <v>149.84551585305599</v>
      </c>
      <c r="F221" t="s">
        <v>352</v>
      </c>
      <c r="G221" s="14">
        <v>46054</v>
      </c>
      <c r="H221">
        <v>7627</v>
      </c>
      <c r="I221">
        <v>734022.48</v>
      </c>
      <c r="J221">
        <v>8280.1169296192002</v>
      </c>
      <c r="K221" t="s">
        <v>350</v>
      </c>
      <c r="L221" s="9" t="s">
        <v>351</v>
      </c>
      <c r="M221" t="s">
        <v>50</v>
      </c>
      <c r="N221" s="12">
        <v>762.77346442656005</v>
      </c>
      <c r="O221" s="13">
        <v>5.0903990024937666</v>
      </c>
      <c r="P221" s="9" t="s">
        <v>369</v>
      </c>
      <c r="Q221">
        <v>586.14</v>
      </c>
      <c r="R221">
        <v>586.14</v>
      </c>
      <c r="S221" t="s">
        <v>39</v>
      </c>
      <c r="T221">
        <v>912.61898027961604</v>
      </c>
      <c r="U221">
        <v>6740023.8599999994</v>
      </c>
      <c r="V221">
        <v>10494205.654235305</v>
      </c>
      <c r="W221" t="s">
        <v>30</v>
      </c>
      <c r="X221" t="s">
        <v>353</v>
      </c>
      <c r="Y221" t="s">
        <v>370</v>
      </c>
      <c r="Z221" t="b">
        <v>0</v>
      </c>
      <c r="AA221" t="s">
        <v>44</v>
      </c>
      <c r="AB221" t="s">
        <v>45</v>
      </c>
      <c r="AC221" t="s">
        <v>231</v>
      </c>
    </row>
    <row r="222" spans="2:29" x14ac:dyDescent="0.35">
      <c r="B222" t="s">
        <v>371</v>
      </c>
      <c r="C222">
        <v>311.31</v>
      </c>
      <c r="D222" t="s">
        <v>39</v>
      </c>
      <c r="E222" s="10">
        <v>484.70913902966402</v>
      </c>
      <c r="F222" t="s">
        <v>30</v>
      </c>
      <c r="G222" s="14">
        <v>46054</v>
      </c>
      <c r="H222">
        <v>4318</v>
      </c>
      <c r="I222">
        <v>1344236.58</v>
      </c>
      <c r="J222">
        <v>10039.2114228347</v>
      </c>
      <c r="K222" t="s">
        <v>350</v>
      </c>
      <c r="L222" s="9" t="s">
        <v>351</v>
      </c>
      <c r="M222" t="s">
        <v>50</v>
      </c>
      <c r="N222" s="12">
        <v>402.25050935823992</v>
      </c>
      <c r="O222" s="13">
        <v>0.82988018373968053</v>
      </c>
      <c r="P222" s="9" t="s">
        <v>371</v>
      </c>
      <c r="Q222">
        <v>569.66</v>
      </c>
      <c r="R222">
        <v>0.56965999999999994</v>
      </c>
      <c r="S222" t="s">
        <v>39</v>
      </c>
      <c r="T222">
        <v>886.95964838790394</v>
      </c>
      <c r="U222">
        <v>10897595.799999999</v>
      </c>
      <c r="V222">
        <v>16967538.073660601</v>
      </c>
      <c r="W222" t="s">
        <v>352</v>
      </c>
      <c r="X222" t="s">
        <v>353</v>
      </c>
      <c r="Y222" t="s">
        <v>372</v>
      </c>
      <c r="Z222" t="b">
        <v>0</v>
      </c>
      <c r="AA222" t="s">
        <v>44</v>
      </c>
      <c r="AB222" t="s">
        <v>45</v>
      </c>
      <c r="AC222" t="s">
        <v>231</v>
      </c>
    </row>
    <row r="223" spans="2:29" x14ac:dyDescent="0.35">
      <c r="B223" t="s">
        <v>371</v>
      </c>
      <c r="C223">
        <v>277.67</v>
      </c>
      <c r="D223" t="s">
        <v>39</v>
      </c>
      <c r="E223" s="10">
        <v>432.33171640604803</v>
      </c>
      <c r="F223" t="s">
        <v>30</v>
      </c>
      <c r="G223" s="14">
        <v>46054</v>
      </c>
      <c r="H223">
        <v>5258</v>
      </c>
      <c r="I223">
        <v>1459988.86</v>
      </c>
      <c r="J223">
        <v>3355.3335042296098</v>
      </c>
      <c r="K223" t="s">
        <v>350</v>
      </c>
      <c r="L223" s="9" t="s">
        <v>351</v>
      </c>
      <c r="M223" t="s">
        <v>50</v>
      </c>
      <c r="N223" s="12">
        <v>133.88628333545603</v>
      </c>
      <c r="O223" s="13">
        <v>0.30968415745309186</v>
      </c>
      <c r="P223" s="9" t="s">
        <v>371</v>
      </c>
      <c r="Q223">
        <v>191.68</v>
      </c>
      <c r="R223">
        <v>0.19168000000000002</v>
      </c>
      <c r="S223" t="s">
        <v>39</v>
      </c>
      <c r="T223">
        <v>298.445433070592</v>
      </c>
      <c r="U223">
        <v>3489726.08</v>
      </c>
      <c r="V223">
        <v>5433497.5544831976</v>
      </c>
      <c r="W223" t="s">
        <v>352</v>
      </c>
      <c r="X223" t="s">
        <v>353</v>
      </c>
      <c r="Y223" t="s">
        <v>372</v>
      </c>
      <c r="Z223" t="b">
        <v>0</v>
      </c>
      <c r="AA223" t="s">
        <v>44</v>
      </c>
      <c r="AB223" t="s">
        <v>45</v>
      </c>
      <c r="AC223" t="s">
        <v>231</v>
      </c>
    </row>
    <row r="224" spans="2:29" x14ac:dyDescent="0.35">
      <c r="B224" t="s">
        <v>371</v>
      </c>
      <c r="C224">
        <v>498.1</v>
      </c>
      <c r="D224" t="s">
        <v>39</v>
      </c>
      <c r="E224" s="10">
        <v>775.54085044064004</v>
      </c>
      <c r="F224" t="s">
        <v>30</v>
      </c>
      <c r="G224" s="14">
        <v>46054</v>
      </c>
      <c r="H224">
        <v>8797</v>
      </c>
      <c r="I224">
        <v>4381785.7</v>
      </c>
      <c r="J224">
        <v>10039.2114228347</v>
      </c>
      <c r="K224" t="s">
        <v>350</v>
      </c>
      <c r="L224" s="9" t="s">
        <v>351</v>
      </c>
      <c r="M224" t="s">
        <v>50</v>
      </c>
      <c r="N224" s="12">
        <v>72.74296031436802</v>
      </c>
      <c r="O224" s="13">
        <v>9.3796426420397525E-2</v>
      </c>
      <c r="P224" s="9" t="s">
        <v>371</v>
      </c>
      <c r="Q224">
        <v>544.82000000000005</v>
      </c>
      <c r="R224">
        <v>0.54482000000000008</v>
      </c>
      <c r="S224" t="s">
        <v>39</v>
      </c>
      <c r="T224">
        <v>848.28381075500806</v>
      </c>
      <c r="U224">
        <v>10330332.020000001</v>
      </c>
      <c r="V224">
        <v>16084309.335725708</v>
      </c>
      <c r="W224" t="s">
        <v>352</v>
      </c>
      <c r="X224" t="s">
        <v>353</v>
      </c>
      <c r="Y224" t="s">
        <v>372</v>
      </c>
      <c r="Z224" t="b">
        <v>0</v>
      </c>
      <c r="AA224" t="s">
        <v>44</v>
      </c>
      <c r="AB224" t="s">
        <v>45</v>
      </c>
      <c r="AC224" t="s">
        <v>231</v>
      </c>
    </row>
    <row r="225" spans="2:29" x14ac:dyDescent="0.35">
      <c r="B225" t="s">
        <v>371</v>
      </c>
      <c r="C225">
        <v>110.76</v>
      </c>
      <c r="D225" t="s">
        <v>39</v>
      </c>
      <c r="E225" s="10">
        <v>172.45313108774403</v>
      </c>
      <c r="F225" t="s">
        <v>30</v>
      </c>
      <c r="G225" s="14">
        <v>46054</v>
      </c>
      <c r="H225">
        <v>16211</v>
      </c>
      <c r="I225">
        <v>1795530.36</v>
      </c>
      <c r="J225">
        <v>3355.3335042296098</v>
      </c>
      <c r="K225" t="s">
        <v>350</v>
      </c>
      <c r="L225" s="9" t="s">
        <v>351</v>
      </c>
      <c r="M225" t="s">
        <v>50</v>
      </c>
      <c r="N225" s="12">
        <v>1318.824265305632</v>
      </c>
      <c r="O225" s="13">
        <v>7.647435897435896</v>
      </c>
      <c r="P225" s="9" t="s">
        <v>371</v>
      </c>
      <c r="Q225">
        <v>957.79</v>
      </c>
      <c r="R225">
        <v>0.95778999999999992</v>
      </c>
      <c r="S225" t="s">
        <v>39</v>
      </c>
      <c r="T225">
        <v>1491.277396393376</v>
      </c>
      <c r="U225">
        <v>2654993.88</v>
      </c>
      <c r="V225">
        <v>4133820.942802438</v>
      </c>
      <c r="W225" t="s">
        <v>352</v>
      </c>
      <c r="X225" t="s">
        <v>353</v>
      </c>
      <c r="Y225" t="s">
        <v>372</v>
      </c>
      <c r="Z225" t="b">
        <v>0</v>
      </c>
      <c r="AA225" t="s">
        <v>44</v>
      </c>
      <c r="AB225" t="s">
        <v>45</v>
      </c>
      <c r="AC225" t="s">
        <v>231</v>
      </c>
    </row>
    <row r="226" spans="2:29" x14ac:dyDescent="0.35">
      <c r="B226" t="s">
        <v>373</v>
      </c>
      <c r="C226">
        <v>629.09</v>
      </c>
      <c r="D226" t="s">
        <v>39</v>
      </c>
      <c r="E226" s="10">
        <v>979.49205702409608</v>
      </c>
      <c r="F226" t="s">
        <v>30</v>
      </c>
      <c r="G226" s="14">
        <v>46054</v>
      </c>
      <c r="H226">
        <v>7712</v>
      </c>
      <c r="I226">
        <v>4851542.08</v>
      </c>
      <c r="J226">
        <v>6369.74230232218</v>
      </c>
      <c r="K226" t="s">
        <v>350</v>
      </c>
      <c r="L226" s="9" t="s">
        <v>351</v>
      </c>
      <c r="M226" t="s">
        <v>50</v>
      </c>
      <c r="N226" s="12">
        <v>335.17502283548811</v>
      </c>
      <c r="O226" s="13">
        <v>0.34219269102990041</v>
      </c>
      <c r="P226" s="9" t="s">
        <v>373</v>
      </c>
      <c r="Q226">
        <v>413.82</v>
      </c>
      <c r="R226">
        <v>0.41381999999999997</v>
      </c>
      <c r="S226" t="s">
        <v>39</v>
      </c>
      <c r="T226">
        <v>644.31703418860798</v>
      </c>
      <c r="U226">
        <v>851641.55999999994</v>
      </c>
      <c r="V226">
        <v>1326004.4563601553</v>
      </c>
      <c r="W226" t="s">
        <v>352</v>
      </c>
      <c r="X226" t="s">
        <v>353</v>
      </c>
      <c r="Y226" t="s">
        <v>374</v>
      </c>
      <c r="Z226" t="b">
        <v>0</v>
      </c>
      <c r="AA226" t="s">
        <v>44</v>
      </c>
      <c r="AB226" t="s">
        <v>45</v>
      </c>
      <c r="AC226" t="s">
        <v>226</v>
      </c>
    </row>
    <row r="227" spans="2:29" x14ac:dyDescent="0.35">
      <c r="B227" t="s">
        <v>373</v>
      </c>
      <c r="C227">
        <v>185.22</v>
      </c>
      <c r="D227" t="s">
        <v>39</v>
      </c>
      <c r="E227" s="10">
        <v>288.38722408876799</v>
      </c>
      <c r="F227" t="s">
        <v>30</v>
      </c>
      <c r="G227" s="14">
        <v>46054</v>
      </c>
      <c r="H227">
        <v>393</v>
      </c>
      <c r="I227">
        <v>72791.460000000006</v>
      </c>
      <c r="J227">
        <v>31848.711511610902</v>
      </c>
      <c r="K227" t="s">
        <v>350</v>
      </c>
      <c r="L227" s="9" t="s">
        <v>351</v>
      </c>
      <c r="M227" t="s">
        <v>50</v>
      </c>
      <c r="N227" s="12">
        <v>366.719808280032</v>
      </c>
      <c r="O227" s="13">
        <v>1.2716229348882411</v>
      </c>
      <c r="P227" s="9" t="s">
        <v>373</v>
      </c>
      <c r="Q227">
        <v>420.75</v>
      </c>
      <c r="R227">
        <v>0.42075000000000001</v>
      </c>
      <c r="S227" t="s">
        <v>39</v>
      </c>
      <c r="T227">
        <v>655.10703236879999</v>
      </c>
      <c r="U227">
        <v>3564594</v>
      </c>
      <c r="V227">
        <v>5550066.7782284738</v>
      </c>
      <c r="W227" t="s">
        <v>352</v>
      </c>
      <c r="X227" t="s">
        <v>353</v>
      </c>
      <c r="Y227" t="s">
        <v>374</v>
      </c>
      <c r="Z227" t="b">
        <v>0</v>
      </c>
      <c r="AA227" t="s">
        <v>44</v>
      </c>
      <c r="AB227" t="s">
        <v>45</v>
      </c>
      <c r="AC227" t="s">
        <v>226</v>
      </c>
    </row>
    <row r="228" spans="2:29" x14ac:dyDescent="0.35">
      <c r="B228" t="s">
        <v>375</v>
      </c>
      <c r="C228">
        <v>779.2</v>
      </c>
      <c r="D228" t="s">
        <v>39</v>
      </c>
      <c r="E228" s="10">
        <v>1213.2130709964802</v>
      </c>
      <c r="F228" t="s">
        <v>30</v>
      </c>
      <c r="G228" s="14">
        <v>46054</v>
      </c>
      <c r="H228">
        <v>19886</v>
      </c>
      <c r="I228">
        <v>15495171.200000001</v>
      </c>
      <c r="J228">
        <v>2637.5551107135998</v>
      </c>
      <c r="K228" t="s">
        <v>350</v>
      </c>
      <c r="L228" s="9" t="s">
        <v>351</v>
      </c>
      <c r="M228" t="s">
        <v>50</v>
      </c>
      <c r="N228" s="12">
        <v>103.08885707222385</v>
      </c>
      <c r="O228" s="13">
        <v>8.497176591375756E-2</v>
      </c>
      <c r="P228" s="9" t="s">
        <v>375</v>
      </c>
      <c r="Q228">
        <v>845.41</v>
      </c>
      <c r="R228">
        <v>0.84540999999999999</v>
      </c>
      <c r="S228" t="s">
        <v>39</v>
      </c>
      <c r="T228">
        <v>1316.301928068704</v>
      </c>
      <c r="U228">
        <v>7249390.75</v>
      </c>
      <c r="V228">
        <v>11287289.033189137</v>
      </c>
      <c r="W228" t="s">
        <v>352</v>
      </c>
      <c r="X228" t="s">
        <v>353</v>
      </c>
      <c r="Y228" t="s">
        <v>376</v>
      </c>
      <c r="Z228" t="b">
        <v>0</v>
      </c>
      <c r="AA228" t="s">
        <v>44</v>
      </c>
      <c r="AB228" t="s">
        <v>45</v>
      </c>
      <c r="AC228" t="s">
        <v>226</v>
      </c>
    </row>
    <row r="229" spans="2:29" x14ac:dyDescent="0.35">
      <c r="B229" t="s">
        <v>377</v>
      </c>
      <c r="C229">
        <v>705.32</v>
      </c>
      <c r="D229" t="s">
        <v>29</v>
      </c>
      <c r="E229" s="10">
        <v>6552.9606064999998</v>
      </c>
      <c r="F229" t="s">
        <v>30</v>
      </c>
      <c r="G229" s="14">
        <v>46054</v>
      </c>
      <c r="H229">
        <v>8829</v>
      </c>
      <c r="I229">
        <v>6227270.2800000003</v>
      </c>
      <c r="J229">
        <v>86249.790266399999</v>
      </c>
      <c r="K229" t="s">
        <v>378</v>
      </c>
      <c r="L229" s="9" t="s">
        <v>379</v>
      </c>
      <c r="M229" t="s">
        <v>33</v>
      </c>
      <c r="N229" s="12">
        <v>6216.5244150460476</v>
      </c>
      <c r="O229" s="13">
        <v>0.94865890218838866</v>
      </c>
      <c r="P229" s="9" t="s">
        <v>377</v>
      </c>
      <c r="Q229">
        <v>216.08</v>
      </c>
      <c r="R229">
        <v>216.08</v>
      </c>
      <c r="S229" t="s">
        <v>39</v>
      </c>
      <c r="T229">
        <v>336.43619145395201</v>
      </c>
      <c r="U229">
        <v>2797155.6</v>
      </c>
      <c r="V229">
        <v>4355166.4983714083</v>
      </c>
      <c r="W229" t="s">
        <v>30</v>
      </c>
      <c r="X229" t="s">
        <v>380</v>
      </c>
      <c r="Y229" t="s">
        <v>381</v>
      </c>
      <c r="Z229" t="b">
        <v>0</v>
      </c>
      <c r="AA229" t="s">
        <v>35</v>
      </c>
      <c r="AB229" t="s">
        <v>36</v>
      </c>
      <c r="AC229" t="s">
        <v>382</v>
      </c>
    </row>
    <row r="230" spans="2:29" x14ac:dyDescent="0.35">
      <c r="B230" t="s">
        <v>377</v>
      </c>
      <c r="C230">
        <v>67.22</v>
      </c>
      <c r="D230" t="s">
        <v>29</v>
      </c>
      <c r="E230" s="10">
        <v>624.52505524999992</v>
      </c>
      <c r="F230" t="s">
        <v>30</v>
      </c>
      <c r="G230" s="14">
        <v>46054</v>
      </c>
      <c r="H230">
        <v>1247</v>
      </c>
      <c r="I230">
        <v>83823.34</v>
      </c>
      <c r="J230">
        <v>35335.817157600002</v>
      </c>
      <c r="K230" t="s">
        <v>378</v>
      </c>
      <c r="L230" s="9" t="s">
        <v>379</v>
      </c>
      <c r="M230" t="s">
        <v>33</v>
      </c>
      <c r="N230" s="12">
        <v>769.43994774337602</v>
      </c>
      <c r="O230" s="13">
        <v>1.2320401579971296</v>
      </c>
      <c r="P230" s="9" t="s">
        <v>377</v>
      </c>
      <c r="Q230">
        <v>895.29</v>
      </c>
      <c r="R230">
        <v>895.29</v>
      </c>
      <c r="S230" t="s">
        <v>39</v>
      </c>
      <c r="T230">
        <v>1393.9650029933759</v>
      </c>
      <c r="U230">
        <v>8463176.3699999992</v>
      </c>
      <c r="V230">
        <v>13177151.173296383</v>
      </c>
      <c r="W230" t="s">
        <v>30</v>
      </c>
      <c r="X230" t="s">
        <v>380</v>
      </c>
      <c r="Y230" t="s">
        <v>381</v>
      </c>
      <c r="Z230" t="b">
        <v>0</v>
      </c>
      <c r="AA230" t="s">
        <v>35</v>
      </c>
      <c r="AB230" t="s">
        <v>36</v>
      </c>
      <c r="AC230" t="s">
        <v>382</v>
      </c>
    </row>
    <row r="231" spans="2:29" x14ac:dyDescent="0.35">
      <c r="B231" t="s">
        <v>377</v>
      </c>
      <c r="C231">
        <v>20.63</v>
      </c>
      <c r="D231" t="s">
        <v>29</v>
      </c>
      <c r="E231" s="10">
        <v>191.66843037499999</v>
      </c>
      <c r="F231" t="s">
        <v>30</v>
      </c>
      <c r="G231" s="14">
        <v>46054</v>
      </c>
      <c r="H231">
        <v>3849</v>
      </c>
      <c r="I231">
        <v>79404.87</v>
      </c>
      <c r="J231">
        <v>81057.071616000001</v>
      </c>
      <c r="K231" t="s">
        <v>378</v>
      </c>
      <c r="L231" s="9" t="s">
        <v>379</v>
      </c>
      <c r="M231" t="s">
        <v>33</v>
      </c>
      <c r="N231" s="12">
        <v>293.28982838176807</v>
      </c>
      <c r="O231" s="13">
        <v>1.5301937194766266</v>
      </c>
      <c r="P231" s="9" t="s">
        <v>377</v>
      </c>
      <c r="Q231">
        <v>311.47000000000003</v>
      </c>
      <c r="R231">
        <v>311.47000000000003</v>
      </c>
      <c r="S231" t="s">
        <v>39</v>
      </c>
      <c r="T231">
        <v>484.95825875676803</v>
      </c>
      <c r="U231">
        <v>1185766.29</v>
      </c>
      <c r="V231">
        <v>1846236.0910870158</v>
      </c>
      <c r="W231" t="s">
        <v>30</v>
      </c>
      <c r="X231" t="s">
        <v>380</v>
      </c>
      <c r="Y231" t="s">
        <v>381</v>
      </c>
      <c r="Z231" t="b">
        <v>0</v>
      </c>
      <c r="AA231" t="s">
        <v>35</v>
      </c>
      <c r="AB231" t="s">
        <v>36</v>
      </c>
      <c r="AC231" t="s">
        <v>382</v>
      </c>
    </row>
    <row r="232" spans="2:29" x14ac:dyDescent="0.35">
      <c r="B232" t="s">
        <v>383</v>
      </c>
      <c r="C232">
        <v>934.74</v>
      </c>
      <c r="D232" t="s">
        <v>71</v>
      </c>
      <c r="E232" s="10">
        <v>10403.00068973913</v>
      </c>
      <c r="F232" t="s">
        <v>30</v>
      </c>
      <c r="G232" s="14">
        <v>46054</v>
      </c>
      <c r="H232">
        <v>9329</v>
      </c>
      <c r="I232">
        <v>8720189.4600000009</v>
      </c>
      <c r="J232">
        <v>60367.0969694839</v>
      </c>
      <c r="K232" t="s">
        <v>384</v>
      </c>
      <c r="L232" s="9" t="s">
        <v>385</v>
      </c>
      <c r="M232" t="s">
        <v>50</v>
      </c>
      <c r="N232" s="12">
        <v>8874.8847137002504</v>
      </c>
      <c r="O232" s="13">
        <v>0.85310815392465389</v>
      </c>
      <c r="P232" s="9" t="s">
        <v>383</v>
      </c>
      <c r="Q232">
        <v>981.45</v>
      </c>
      <c r="R232">
        <v>981.45</v>
      </c>
      <c r="S232" t="s">
        <v>39</v>
      </c>
      <c r="T232">
        <v>1528.11597603888</v>
      </c>
      <c r="U232">
        <v>2056137.75</v>
      </c>
      <c r="V232">
        <v>3201402.9698014539</v>
      </c>
      <c r="W232" t="s">
        <v>30</v>
      </c>
      <c r="X232" t="s">
        <v>386</v>
      </c>
      <c r="Y232" t="s">
        <v>387</v>
      </c>
      <c r="Z232" t="b">
        <v>0</v>
      </c>
      <c r="AA232" t="s">
        <v>35</v>
      </c>
      <c r="AB232" t="s">
        <v>36</v>
      </c>
      <c r="AC232" t="s">
        <v>388</v>
      </c>
    </row>
    <row r="233" spans="2:29" x14ac:dyDescent="0.35">
      <c r="B233" t="s">
        <v>389</v>
      </c>
      <c r="C233">
        <v>93.17</v>
      </c>
      <c r="D233" t="s">
        <v>71</v>
      </c>
      <c r="E233" s="10">
        <v>1036.916762161665</v>
      </c>
      <c r="F233" t="s">
        <v>30</v>
      </c>
      <c r="G233" s="14">
        <v>46054</v>
      </c>
      <c r="H233">
        <v>7472</v>
      </c>
      <c r="I233">
        <v>696166.24</v>
      </c>
      <c r="J233">
        <v>52356.583885148</v>
      </c>
      <c r="K233" t="s">
        <v>384</v>
      </c>
      <c r="L233" s="9" t="s">
        <v>385</v>
      </c>
      <c r="M233" t="s">
        <v>50</v>
      </c>
      <c r="N233" s="12">
        <v>230.12173987222309</v>
      </c>
      <c r="O233" s="13">
        <v>0.22192884546729408</v>
      </c>
      <c r="P233" s="9" t="s">
        <v>389</v>
      </c>
      <c r="Q233">
        <v>813.77</v>
      </c>
      <c r="R233">
        <v>813.77</v>
      </c>
      <c r="S233" t="s">
        <v>39</v>
      </c>
      <c r="T233">
        <v>1267.0385020338881</v>
      </c>
      <c r="U233">
        <v>4637675.2299999995</v>
      </c>
      <c r="V233">
        <v>7220852.4230911285</v>
      </c>
      <c r="W233" t="s">
        <v>30</v>
      </c>
      <c r="X233" t="s">
        <v>386</v>
      </c>
      <c r="Y233" t="s">
        <v>390</v>
      </c>
      <c r="Z233" t="b">
        <v>0</v>
      </c>
      <c r="AA233" t="s">
        <v>35</v>
      </c>
      <c r="AB233" t="s">
        <v>36</v>
      </c>
      <c r="AC233" t="s">
        <v>388</v>
      </c>
    </row>
    <row r="234" spans="2:29" x14ac:dyDescent="0.35">
      <c r="B234" t="s">
        <v>391</v>
      </c>
      <c r="C234">
        <v>134.26</v>
      </c>
      <c r="D234" t="s">
        <v>71</v>
      </c>
      <c r="E234" s="10">
        <v>1494.21964675137</v>
      </c>
      <c r="F234" t="s">
        <v>30</v>
      </c>
      <c r="G234" s="14">
        <v>46054</v>
      </c>
      <c r="H234">
        <v>6090</v>
      </c>
      <c r="I234">
        <v>817643.39999999991</v>
      </c>
      <c r="J234">
        <v>323634.88743104698</v>
      </c>
      <c r="K234" t="s">
        <v>384</v>
      </c>
      <c r="L234" s="9" t="s">
        <v>385</v>
      </c>
      <c r="M234" t="s">
        <v>50</v>
      </c>
      <c r="N234" s="12">
        <v>843.19194991389793</v>
      </c>
      <c r="O234" s="13">
        <v>0.56430254530992696</v>
      </c>
      <c r="P234" s="9" t="s">
        <v>391</v>
      </c>
      <c r="Q234">
        <v>418.13</v>
      </c>
      <c r="R234">
        <v>418.13</v>
      </c>
      <c r="S234" t="s">
        <v>39</v>
      </c>
      <c r="T234">
        <v>651.02769683747204</v>
      </c>
      <c r="U234">
        <v>1708061.05</v>
      </c>
      <c r="V234">
        <v>2659448.1415810734</v>
      </c>
      <c r="W234" t="s">
        <v>30</v>
      </c>
      <c r="X234" t="s">
        <v>386</v>
      </c>
      <c r="Y234" t="s">
        <v>392</v>
      </c>
      <c r="Z234" t="b">
        <v>0</v>
      </c>
      <c r="AA234" t="s">
        <v>35</v>
      </c>
      <c r="AB234" t="s">
        <v>36</v>
      </c>
      <c r="AC234" t="s">
        <v>388</v>
      </c>
    </row>
    <row r="235" spans="2:29" x14ac:dyDescent="0.35">
      <c r="B235" t="s">
        <v>393</v>
      </c>
      <c r="C235">
        <v>225.71</v>
      </c>
      <c r="D235" t="s">
        <v>71</v>
      </c>
      <c r="E235" s="10">
        <v>2511.9940151068949</v>
      </c>
      <c r="F235" t="s">
        <v>30</v>
      </c>
      <c r="G235" s="14">
        <v>46054</v>
      </c>
      <c r="H235">
        <v>8929</v>
      </c>
      <c r="I235">
        <v>2015364.59</v>
      </c>
      <c r="J235">
        <v>70938.328138742596</v>
      </c>
      <c r="K235" t="s">
        <v>384</v>
      </c>
      <c r="L235" s="9" t="s">
        <v>385</v>
      </c>
      <c r="M235" t="s">
        <v>50</v>
      </c>
      <c r="N235" s="12">
        <v>1426.5326541659349</v>
      </c>
      <c r="O235" s="13">
        <v>0.56788855609802502</v>
      </c>
      <c r="P235" s="9" t="s">
        <v>393</v>
      </c>
      <c r="Q235">
        <v>697.15</v>
      </c>
      <c r="R235">
        <v>697.15</v>
      </c>
      <c r="S235" t="s">
        <v>39</v>
      </c>
      <c r="T235">
        <v>1085.46136094096</v>
      </c>
      <c r="U235">
        <v>8739472.4000000004</v>
      </c>
      <c r="V235">
        <v>13607343.620755875</v>
      </c>
      <c r="W235" t="s">
        <v>30</v>
      </c>
      <c r="X235" t="s">
        <v>386</v>
      </c>
      <c r="Y235" t="s">
        <v>394</v>
      </c>
      <c r="Z235" t="b">
        <v>0</v>
      </c>
      <c r="AA235" t="s">
        <v>35</v>
      </c>
      <c r="AB235" t="s">
        <v>36</v>
      </c>
      <c r="AC235" t="s">
        <v>388</v>
      </c>
    </row>
    <row r="236" spans="2:29" x14ac:dyDescent="0.35">
      <c r="B236" t="s">
        <v>393</v>
      </c>
      <c r="C236">
        <v>943.92</v>
      </c>
      <c r="D236" t="s">
        <v>71</v>
      </c>
      <c r="E236" s="10">
        <v>10505.167652030039</v>
      </c>
      <c r="F236" t="s">
        <v>30</v>
      </c>
      <c r="G236" s="14">
        <v>46054</v>
      </c>
      <c r="H236">
        <v>6106</v>
      </c>
      <c r="I236">
        <v>5763575.5199999996</v>
      </c>
      <c r="J236">
        <v>141876.65627748499</v>
      </c>
      <c r="K236" t="s">
        <v>384</v>
      </c>
      <c r="L236" s="9" t="s">
        <v>385</v>
      </c>
      <c r="M236" t="s">
        <v>50</v>
      </c>
      <c r="N236" s="12">
        <v>9762.5261755500705</v>
      </c>
      <c r="O236" s="13">
        <v>0.92930703239786383</v>
      </c>
      <c r="P236" s="9" t="s">
        <v>393</v>
      </c>
      <c r="Q236">
        <v>476.97</v>
      </c>
      <c r="R236">
        <v>476.97</v>
      </c>
      <c r="S236" t="s">
        <v>39</v>
      </c>
      <c r="T236">
        <v>742.64147647996811</v>
      </c>
      <c r="U236">
        <v>5009138.9400000004</v>
      </c>
      <c r="V236">
        <v>7799220.7859926252</v>
      </c>
      <c r="W236" t="s">
        <v>30</v>
      </c>
      <c r="X236" t="s">
        <v>386</v>
      </c>
      <c r="Y236" t="s">
        <v>394</v>
      </c>
      <c r="Z236" t="b">
        <v>0</v>
      </c>
      <c r="AA236" t="s">
        <v>35</v>
      </c>
      <c r="AB236" t="s">
        <v>36</v>
      </c>
      <c r="AC236" t="s">
        <v>388</v>
      </c>
    </row>
    <row r="237" spans="2:29" x14ac:dyDescent="0.35">
      <c r="B237" t="s">
        <v>395</v>
      </c>
      <c r="C237">
        <v>237.34</v>
      </c>
      <c r="D237" t="s">
        <v>29</v>
      </c>
      <c r="E237" s="10">
        <v>2205.0695717499998</v>
      </c>
      <c r="F237" t="s">
        <v>30</v>
      </c>
      <c r="G237" s="14">
        <v>46054</v>
      </c>
      <c r="H237">
        <v>7051</v>
      </c>
      <c r="I237">
        <v>1673484.34</v>
      </c>
      <c r="J237">
        <v>56926.359989999997</v>
      </c>
      <c r="K237" t="s">
        <v>396</v>
      </c>
      <c r="L237" s="9" t="s">
        <v>397</v>
      </c>
      <c r="M237" t="s">
        <v>50</v>
      </c>
      <c r="N237" s="12">
        <v>1471.2095656504478</v>
      </c>
      <c r="O237" s="13">
        <v>0.66719417133077485</v>
      </c>
      <c r="P237" s="9" t="s">
        <v>395</v>
      </c>
      <c r="Q237">
        <v>471.33</v>
      </c>
      <c r="R237">
        <v>471.33</v>
      </c>
      <c r="S237" t="s">
        <v>39</v>
      </c>
      <c r="T237">
        <v>733.86000609955204</v>
      </c>
      <c r="U237">
        <v>6117392.0699999994</v>
      </c>
      <c r="V237">
        <v>9524769.0191660859</v>
      </c>
      <c r="W237" t="s">
        <v>30</v>
      </c>
      <c r="X237" t="s">
        <v>398</v>
      </c>
      <c r="Y237" t="s">
        <v>399</v>
      </c>
      <c r="Z237" t="b">
        <v>0</v>
      </c>
      <c r="AA237" t="s">
        <v>44</v>
      </c>
      <c r="AB237" t="s">
        <v>36</v>
      </c>
      <c r="AC237" t="s">
        <v>362</v>
      </c>
    </row>
    <row r="238" spans="2:29" x14ac:dyDescent="0.35">
      <c r="B238" t="s">
        <v>395</v>
      </c>
      <c r="C238">
        <v>320.7</v>
      </c>
      <c r="D238" t="s">
        <v>29</v>
      </c>
      <c r="E238" s="10">
        <v>2979.5475337499997</v>
      </c>
      <c r="F238" t="s">
        <v>30</v>
      </c>
      <c r="G238" s="14">
        <v>46054</v>
      </c>
      <c r="H238">
        <v>397</v>
      </c>
      <c r="I238">
        <v>127317.9</v>
      </c>
      <c r="J238">
        <v>70773.312420000002</v>
      </c>
      <c r="K238" t="s">
        <v>396</v>
      </c>
      <c r="L238" s="9" t="s">
        <v>397</v>
      </c>
      <c r="M238" t="s">
        <v>50</v>
      </c>
      <c r="N238" s="12">
        <v>2051.9190899123678</v>
      </c>
      <c r="O238" s="13">
        <v>0.68866801642525333</v>
      </c>
      <c r="P238" s="9" t="s">
        <v>395</v>
      </c>
      <c r="Q238">
        <v>595.78</v>
      </c>
      <c r="R238">
        <v>595.78</v>
      </c>
      <c r="S238" t="s">
        <v>39</v>
      </c>
      <c r="T238">
        <v>927.62844383763195</v>
      </c>
      <c r="U238">
        <v>8564337.5</v>
      </c>
      <c r="V238">
        <v>13334658.880165959</v>
      </c>
      <c r="W238" t="s">
        <v>30</v>
      </c>
      <c r="X238" t="s">
        <v>398</v>
      </c>
      <c r="Y238" t="s">
        <v>399</v>
      </c>
      <c r="Z238" t="b">
        <v>0</v>
      </c>
      <c r="AA238" t="s">
        <v>44</v>
      </c>
      <c r="AB238" t="s">
        <v>36</v>
      </c>
      <c r="AC238" t="s">
        <v>362</v>
      </c>
    </row>
    <row r="239" spans="2:29" x14ac:dyDescent="0.35">
      <c r="B239" t="s">
        <v>400</v>
      </c>
      <c r="C239">
        <v>150.24</v>
      </c>
      <c r="D239" t="s">
        <v>29</v>
      </c>
      <c r="E239" s="10">
        <v>1395.8441580000001</v>
      </c>
      <c r="F239" t="s">
        <v>30</v>
      </c>
      <c r="G239" s="14">
        <v>46054</v>
      </c>
      <c r="H239">
        <v>5578</v>
      </c>
      <c r="I239">
        <v>838038.72000000009</v>
      </c>
      <c r="J239">
        <v>46063.600474999999</v>
      </c>
      <c r="K239" t="s">
        <v>396</v>
      </c>
      <c r="L239" s="9" t="s">
        <v>397</v>
      </c>
      <c r="M239" t="s">
        <v>50</v>
      </c>
      <c r="N239" s="12">
        <v>592.15277839660814</v>
      </c>
      <c r="O239" s="13">
        <v>0.4242255663017992</v>
      </c>
      <c r="P239" s="9" t="s">
        <v>400</v>
      </c>
      <c r="Q239">
        <v>516.17999999999995</v>
      </c>
      <c r="R239">
        <v>516.17999999999995</v>
      </c>
      <c r="S239" t="s">
        <v>39</v>
      </c>
      <c r="T239">
        <v>803.69137960339197</v>
      </c>
      <c r="U239">
        <v>2379589.7999999998</v>
      </c>
      <c r="V239">
        <v>3705017.2599716368</v>
      </c>
      <c r="W239" t="s">
        <v>30</v>
      </c>
      <c r="X239" t="s">
        <v>398</v>
      </c>
      <c r="Y239" t="s">
        <v>401</v>
      </c>
      <c r="Z239" t="b">
        <v>0</v>
      </c>
      <c r="AA239" t="s">
        <v>44</v>
      </c>
      <c r="AB239" t="s">
        <v>36</v>
      </c>
      <c r="AC239" t="s">
        <v>231</v>
      </c>
    </row>
    <row r="240" spans="2:29" x14ac:dyDescent="0.35">
      <c r="B240" t="s">
        <v>400</v>
      </c>
      <c r="C240">
        <v>566.24</v>
      </c>
      <c r="D240" t="s">
        <v>29</v>
      </c>
      <c r="E240" s="10">
        <v>5260.8013579999997</v>
      </c>
      <c r="F240" t="s">
        <v>30</v>
      </c>
      <c r="G240" s="14">
        <v>46054</v>
      </c>
      <c r="H240">
        <v>18885</v>
      </c>
      <c r="I240">
        <v>10693442.4</v>
      </c>
      <c r="J240">
        <v>181764.47755000001</v>
      </c>
      <c r="K240" t="s">
        <v>396</v>
      </c>
      <c r="L240" s="9" t="s">
        <v>397</v>
      </c>
      <c r="M240" t="s">
        <v>50</v>
      </c>
      <c r="N240" s="12">
        <v>4879.8972952579834</v>
      </c>
      <c r="O240" s="13">
        <v>0.92759580968348432</v>
      </c>
      <c r="P240" s="9" t="s">
        <v>400</v>
      </c>
      <c r="Q240">
        <v>244.64</v>
      </c>
      <c r="R240">
        <v>244.64</v>
      </c>
      <c r="S240" t="s">
        <v>39</v>
      </c>
      <c r="T240">
        <v>380.90406274201598</v>
      </c>
      <c r="U240">
        <v>3219462.4</v>
      </c>
      <c r="V240">
        <v>5012697.4656849299</v>
      </c>
      <c r="W240" t="s">
        <v>30</v>
      </c>
      <c r="X240" t="s">
        <v>398</v>
      </c>
      <c r="Y240" t="s">
        <v>401</v>
      </c>
      <c r="Z240" t="b">
        <v>0</v>
      </c>
      <c r="AA240" t="s">
        <v>44</v>
      </c>
      <c r="AB240" t="s">
        <v>36</v>
      </c>
      <c r="AC240" t="s">
        <v>231</v>
      </c>
    </row>
    <row r="241" spans="2:29" x14ac:dyDescent="0.35">
      <c r="B241" t="s">
        <v>402</v>
      </c>
      <c r="C241">
        <v>234.47</v>
      </c>
      <c r="D241" t="s">
        <v>29</v>
      </c>
      <c r="E241" s="10">
        <v>2178.4050833749998</v>
      </c>
      <c r="F241" t="s">
        <v>30</v>
      </c>
      <c r="G241" s="14">
        <v>46054</v>
      </c>
      <c r="H241">
        <v>10930</v>
      </c>
      <c r="I241">
        <v>2562757.1</v>
      </c>
      <c r="J241">
        <v>6080.80405625</v>
      </c>
      <c r="K241" t="s">
        <v>396</v>
      </c>
      <c r="L241" s="9" t="s">
        <v>397</v>
      </c>
      <c r="M241" t="s">
        <v>50</v>
      </c>
      <c r="N241" s="12">
        <v>824.03454700821567</v>
      </c>
      <c r="O241" s="13">
        <v>0.3782742490352346</v>
      </c>
      <c r="P241" s="9" t="s">
        <v>402</v>
      </c>
      <c r="Q241">
        <v>869.86</v>
      </c>
      <c r="R241">
        <v>869.86</v>
      </c>
      <c r="S241" t="s">
        <v>39</v>
      </c>
      <c r="T241">
        <v>1354.3705363667841</v>
      </c>
      <c r="U241">
        <v>14674538.200000001</v>
      </c>
      <c r="V241">
        <v>22848230.948507648</v>
      </c>
      <c r="W241" t="s">
        <v>30</v>
      </c>
      <c r="X241" t="s">
        <v>398</v>
      </c>
      <c r="Y241" t="s">
        <v>403</v>
      </c>
      <c r="Z241" t="b">
        <v>0</v>
      </c>
      <c r="AA241" t="s">
        <v>44</v>
      </c>
      <c r="AB241" t="s">
        <v>36</v>
      </c>
      <c r="AC241" t="s">
        <v>226</v>
      </c>
    </row>
    <row r="242" spans="2:29" x14ac:dyDescent="0.35">
      <c r="B242" t="s">
        <v>402</v>
      </c>
      <c r="C242">
        <v>185.97</v>
      </c>
      <c r="D242" t="s">
        <v>29</v>
      </c>
      <c r="E242" s="10">
        <v>1727.8031021249999</v>
      </c>
      <c r="F242" t="s">
        <v>30</v>
      </c>
      <c r="G242" s="14">
        <v>46054</v>
      </c>
      <c r="H242">
        <v>2206</v>
      </c>
      <c r="I242">
        <v>410249.82</v>
      </c>
      <c r="J242">
        <v>18242.412168750001</v>
      </c>
      <c r="K242" t="s">
        <v>396</v>
      </c>
      <c r="L242" s="9" t="s">
        <v>397</v>
      </c>
      <c r="M242" t="s">
        <v>50</v>
      </c>
      <c r="N242" s="12">
        <v>1078.5659533260878</v>
      </c>
      <c r="O242" s="13">
        <v>0.62424124137731618</v>
      </c>
      <c r="P242" s="9" t="s">
        <v>402</v>
      </c>
      <c r="Q242">
        <v>416.98</v>
      </c>
      <c r="R242">
        <v>416.98</v>
      </c>
      <c r="S242" t="s">
        <v>39</v>
      </c>
      <c r="T242">
        <v>649.23714879891202</v>
      </c>
      <c r="U242">
        <v>6390635.4800000004</v>
      </c>
      <c r="V242">
        <v>9950208.5424921252</v>
      </c>
      <c r="W242" t="s">
        <v>30</v>
      </c>
      <c r="X242" t="s">
        <v>398</v>
      </c>
      <c r="Y242" t="s">
        <v>403</v>
      </c>
      <c r="Z242" t="b">
        <v>0</v>
      </c>
      <c r="AA242" t="s">
        <v>44</v>
      </c>
      <c r="AB242" t="s">
        <v>36</v>
      </c>
      <c r="AC242" t="s">
        <v>226</v>
      </c>
    </row>
    <row r="243" spans="2:29" x14ac:dyDescent="0.35">
      <c r="B243" t="s">
        <v>404</v>
      </c>
      <c r="C243">
        <v>105</v>
      </c>
      <c r="D243" t="s">
        <v>29</v>
      </c>
      <c r="E243" s="10">
        <v>975.53006249999999</v>
      </c>
      <c r="F243" t="s">
        <v>30</v>
      </c>
      <c r="G243" s="14">
        <v>46054</v>
      </c>
      <c r="H243">
        <v>16302</v>
      </c>
      <c r="I243">
        <v>1711710</v>
      </c>
      <c r="J243">
        <v>18813.794062500001</v>
      </c>
      <c r="K243" t="s">
        <v>405</v>
      </c>
      <c r="L243" s="9" t="s">
        <v>406</v>
      </c>
      <c r="M243" t="s">
        <v>33</v>
      </c>
      <c r="N243" s="12">
        <v>542.85580646918402</v>
      </c>
      <c r="O243" s="13">
        <v>0.55647265762164455</v>
      </c>
      <c r="P243" s="9" t="s">
        <v>404</v>
      </c>
      <c r="Q243">
        <v>277.89</v>
      </c>
      <c r="R243">
        <v>277.89</v>
      </c>
      <c r="S243" t="s">
        <v>39</v>
      </c>
      <c r="T243">
        <v>432.67425603081597</v>
      </c>
      <c r="U243">
        <v>5099837.2799999993</v>
      </c>
      <c r="V243">
        <v>7940437.9466775348</v>
      </c>
      <c r="W243" t="s">
        <v>30</v>
      </c>
      <c r="X243" t="s">
        <v>407</v>
      </c>
      <c r="Y243" t="s">
        <v>408</v>
      </c>
      <c r="Z243" t="b">
        <v>0</v>
      </c>
      <c r="AA243" t="s">
        <v>44</v>
      </c>
      <c r="AB243" t="s">
        <v>36</v>
      </c>
      <c r="AC243" t="s">
        <v>273</v>
      </c>
    </row>
    <row r="244" spans="2:29" x14ac:dyDescent="0.35">
      <c r="B244" t="s">
        <v>409</v>
      </c>
      <c r="C244">
        <v>874.22</v>
      </c>
      <c r="D244" t="s">
        <v>29</v>
      </c>
      <c r="E244" s="10">
        <v>8122.1703927500002</v>
      </c>
      <c r="F244" t="s">
        <v>30</v>
      </c>
      <c r="G244" s="14">
        <v>46054</v>
      </c>
      <c r="H244">
        <v>1022</v>
      </c>
      <c r="I244">
        <v>893452.84000000008</v>
      </c>
      <c r="J244">
        <v>774399.47363839997</v>
      </c>
      <c r="K244" t="s">
        <v>405</v>
      </c>
      <c r="L244" s="9" t="s">
        <v>406</v>
      </c>
      <c r="M244" t="s">
        <v>33</v>
      </c>
      <c r="N244" s="12">
        <v>7842.9071786664163</v>
      </c>
      <c r="O244" s="13">
        <v>0.96561716873942227</v>
      </c>
      <c r="P244" s="9" t="s">
        <v>409</v>
      </c>
      <c r="Q244">
        <v>179.36</v>
      </c>
      <c r="R244">
        <v>179.36</v>
      </c>
      <c r="S244" t="s">
        <v>39</v>
      </c>
      <c r="T244">
        <v>279.26321408358405</v>
      </c>
      <c r="U244">
        <v>2465841.2800000003</v>
      </c>
      <c r="V244">
        <v>3839310.6672211136</v>
      </c>
      <c r="W244" t="s">
        <v>30</v>
      </c>
      <c r="X244" t="s">
        <v>407</v>
      </c>
      <c r="Y244" t="s">
        <v>381</v>
      </c>
      <c r="Z244" t="b">
        <v>0</v>
      </c>
      <c r="AA244" t="s">
        <v>35</v>
      </c>
      <c r="AB244" t="s">
        <v>36</v>
      </c>
      <c r="AC244" t="s">
        <v>382</v>
      </c>
    </row>
    <row r="245" spans="2:29" x14ac:dyDescent="0.35">
      <c r="B245" t="s">
        <v>410</v>
      </c>
      <c r="C245">
        <v>189.64</v>
      </c>
      <c r="D245" t="s">
        <v>29</v>
      </c>
      <c r="E245" s="10">
        <v>1761.9002004999998</v>
      </c>
      <c r="F245" t="s">
        <v>30</v>
      </c>
      <c r="G245" s="14">
        <v>46054</v>
      </c>
      <c r="H245">
        <v>17048</v>
      </c>
      <c r="I245">
        <v>3232982.7199999997</v>
      </c>
      <c r="J245">
        <v>26453.699555399999</v>
      </c>
      <c r="K245" t="s">
        <v>405</v>
      </c>
      <c r="L245" s="9" t="s">
        <v>406</v>
      </c>
      <c r="M245" t="s">
        <v>33</v>
      </c>
      <c r="N245" s="12">
        <v>334.86455373356785</v>
      </c>
      <c r="O245" s="13">
        <v>0.19005875227129126</v>
      </c>
      <c r="P245" s="9" t="s">
        <v>410</v>
      </c>
      <c r="Q245">
        <v>916.53</v>
      </c>
      <c r="R245">
        <v>916.53</v>
      </c>
      <c r="S245" t="s">
        <v>39</v>
      </c>
      <c r="T245">
        <v>1427.0356467664319</v>
      </c>
      <c r="U245">
        <v>7993974.6600000001</v>
      </c>
      <c r="V245">
        <v>12446604.911096819</v>
      </c>
      <c r="W245" t="s">
        <v>30</v>
      </c>
      <c r="X245" t="s">
        <v>407</v>
      </c>
      <c r="Y245" t="s">
        <v>411</v>
      </c>
      <c r="Z245" t="b">
        <v>0</v>
      </c>
      <c r="AA245" t="s">
        <v>44</v>
      </c>
      <c r="AB245" t="s">
        <v>36</v>
      </c>
      <c r="AC245" t="s">
        <v>273</v>
      </c>
    </row>
    <row r="246" spans="2:29" x14ac:dyDescent="0.35">
      <c r="B246" t="s">
        <v>412</v>
      </c>
      <c r="C246">
        <v>294.52999999999997</v>
      </c>
      <c r="D246" t="s">
        <v>29</v>
      </c>
      <c r="E246" s="10">
        <v>2736.4082791249998</v>
      </c>
      <c r="F246" t="s">
        <v>30</v>
      </c>
      <c r="G246" s="14">
        <v>46054</v>
      </c>
      <c r="H246">
        <v>16243</v>
      </c>
      <c r="I246">
        <v>4784050.7899999991</v>
      </c>
      <c r="J246">
        <v>331122.77549999999</v>
      </c>
      <c r="K246" t="s">
        <v>405</v>
      </c>
      <c r="L246" s="9" t="s">
        <v>406</v>
      </c>
      <c r="M246" t="s">
        <v>33</v>
      </c>
      <c r="N246" s="12">
        <v>2626.593189420968</v>
      </c>
      <c r="O246" s="13">
        <v>0.95986889436720069</v>
      </c>
      <c r="P246" s="9" t="s">
        <v>412</v>
      </c>
      <c r="Q246">
        <v>70.53</v>
      </c>
      <c r="R246">
        <v>70.53</v>
      </c>
      <c r="S246" t="s">
        <v>39</v>
      </c>
      <c r="T246">
        <v>109.815089704032</v>
      </c>
      <c r="U246">
        <v>1118958.45</v>
      </c>
      <c r="V246">
        <v>1742216.3981544678</v>
      </c>
      <c r="W246" t="s">
        <v>30</v>
      </c>
      <c r="X246" t="s">
        <v>407</v>
      </c>
      <c r="Y246" t="s">
        <v>381</v>
      </c>
      <c r="Z246" t="b">
        <v>0</v>
      </c>
      <c r="AA246" t="s">
        <v>35</v>
      </c>
      <c r="AB246" t="s">
        <v>36</v>
      </c>
      <c r="AC246" t="s">
        <v>382</v>
      </c>
    </row>
    <row r="247" spans="2:29" x14ac:dyDescent="0.35">
      <c r="B247" t="s">
        <v>413</v>
      </c>
      <c r="C247">
        <v>399.62</v>
      </c>
      <c r="D247" t="s">
        <v>29</v>
      </c>
      <c r="E247" s="10">
        <v>3712.7745102499998</v>
      </c>
      <c r="F247" t="s">
        <v>30</v>
      </c>
      <c r="G247" s="14">
        <v>46054</v>
      </c>
      <c r="H247">
        <v>9795</v>
      </c>
      <c r="I247">
        <v>3914277.9</v>
      </c>
      <c r="J247">
        <v>809857.18559999997</v>
      </c>
      <c r="K247" t="s">
        <v>414</v>
      </c>
      <c r="L247" s="9" t="s">
        <v>415</v>
      </c>
      <c r="M247" t="s">
        <v>50</v>
      </c>
      <c r="N247" s="12">
        <v>3394.2905091304797</v>
      </c>
      <c r="O247" s="13">
        <v>0.91421940647344213</v>
      </c>
      <c r="P247" s="9" t="s">
        <v>413</v>
      </c>
      <c r="Q247">
        <v>204.55</v>
      </c>
      <c r="R247">
        <v>204.55</v>
      </c>
      <c r="S247" t="s">
        <v>39</v>
      </c>
      <c r="T247">
        <v>318.48400111952003</v>
      </c>
      <c r="U247">
        <v>184708.65000000002</v>
      </c>
      <c r="V247">
        <v>287591.05301092658</v>
      </c>
      <c r="W247" t="s">
        <v>30</v>
      </c>
      <c r="X247" t="s">
        <v>416</v>
      </c>
      <c r="Y247" t="s">
        <v>417</v>
      </c>
      <c r="Z247" t="b">
        <v>0</v>
      </c>
      <c r="AA247" t="s">
        <v>35</v>
      </c>
      <c r="AB247" t="s">
        <v>36</v>
      </c>
      <c r="AC247" t="s">
        <v>126</v>
      </c>
    </row>
    <row r="248" spans="2:29" x14ac:dyDescent="0.35">
      <c r="B248" t="s">
        <v>418</v>
      </c>
      <c r="C248">
        <v>492.81</v>
      </c>
      <c r="D248" t="s">
        <v>71</v>
      </c>
      <c r="E248" s="10">
        <v>5484.629704420845</v>
      </c>
      <c r="F248" t="s">
        <v>30</v>
      </c>
      <c r="G248" s="14">
        <v>46054</v>
      </c>
      <c r="H248">
        <v>13086</v>
      </c>
      <c r="I248">
        <v>6448911.6600000001</v>
      </c>
      <c r="J248">
        <v>31317.846610742999</v>
      </c>
      <c r="K248" t="s">
        <v>419</v>
      </c>
      <c r="L248" s="9" t="s">
        <v>420</v>
      </c>
      <c r="M248" t="s">
        <v>50</v>
      </c>
      <c r="N248" s="12">
        <v>4104.8800958553411</v>
      </c>
      <c r="O248" s="13">
        <v>0.74843340700770244</v>
      </c>
      <c r="P248" s="9" t="s">
        <v>418</v>
      </c>
      <c r="Q248">
        <v>886.16</v>
      </c>
      <c r="R248">
        <v>886.16</v>
      </c>
      <c r="S248" t="s">
        <v>39</v>
      </c>
      <c r="T248">
        <v>1379.7496085655039</v>
      </c>
      <c r="U248">
        <v>11430577.84</v>
      </c>
      <c r="V248">
        <v>17797390.200886436</v>
      </c>
      <c r="W248" t="s">
        <v>30</v>
      </c>
      <c r="X248" t="s">
        <v>421</v>
      </c>
      <c r="Y248" t="s">
        <v>422</v>
      </c>
      <c r="Z248" t="b">
        <v>0</v>
      </c>
      <c r="AA248" t="s">
        <v>35</v>
      </c>
      <c r="AB248" t="s">
        <v>36</v>
      </c>
      <c r="AC248" t="s">
        <v>423</v>
      </c>
    </row>
    <row r="249" spans="2:29" x14ac:dyDescent="0.35">
      <c r="B249" t="s">
        <v>424</v>
      </c>
      <c r="C249">
        <v>689.11</v>
      </c>
      <c r="D249" t="s">
        <v>71</v>
      </c>
      <c r="E249" s="10">
        <v>7669.3110440401952</v>
      </c>
      <c r="F249" t="s">
        <v>30</v>
      </c>
      <c r="G249" s="14">
        <v>46054</v>
      </c>
      <c r="H249">
        <v>13494</v>
      </c>
      <c r="I249">
        <v>9298850.3399999999</v>
      </c>
      <c r="J249">
        <v>20233.065081141001</v>
      </c>
      <c r="K249" t="s">
        <v>419</v>
      </c>
      <c r="L249" s="9" t="s">
        <v>420</v>
      </c>
      <c r="M249" t="s">
        <v>50</v>
      </c>
      <c r="N249" s="12">
        <v>7349.5658743022113</v>
      </c>
      <c r="O249" s="13">
        <v>0.95830848848066252</v>
      </c>
      <c r="P249" s="9" t="s">
        <v>424</v>
      </c>
      <c r="Q249">
        <v>205.36</v>
      </c>
      <c r="R249">
        <v>205.36</v>
      </c>
      <c r="S249" t="s">
        <v>39</v>
      </c>
      <c r="T249">
        <v>319.74516973798404</v>
      </c>
      <c r="U249">
        <v>2717118.16</v>
      </c>
      <c r="V249">
        <v>4230548.3408032665</v>
      </c>
      <c r="W249" t="s">
        <v>30</v>
      </c>
      <c r="X249" t="s">
        <v>421</v>
      </c>
      <c r="Y249" t="s">
        <v>422</v>
      </c>
      <c r="Z249" t="b">
        <v>0</v>
      </c>
      <c r="AA249" t="s">
        <v>35</v>
      </c>
      <c r="AB249" t="s">
        <v>36</v>
      </c>
      <c r="AC249" t="s">
        <v>423</v>
      </c>
    </row>
    <row r="250" spans="2:29" x14ac:dyDescent="0.35">
      <c r="B250" t="s">
        <v>425</v>
      </c>
      <c r="C250">
        <v>575.79</v>
      </c>
      <c r="D250" t="s">
        <v>39</v>
      </c>
      <c r="E250" s="10">
        <v>896.50404793257599</v>
      </c>
      <c r="F250" t="s">
        <v>30</v>
      </c>
      <c r="G250" s="14">
        <v>46054</v>
      </c>
      <c r="H250">
        <v>10931</v>
      </c>
      <c r="I250">
        <v>6293960.4899999993</v>
      </c>
      <c r="J250">
        <v>607.72757427020804</v>
      </c>
      <c r="K250" t="s">
        <v>426</v>
      </c>
      <c r="L250" s="9" t="s">
        <v>427</v>
      </c>
      <c r="M250" t="s">
        <v>33</v>
      </c>
      <c r="N250" s="12">
        <v>537.66265102220791</v>
      </c>
      <c r="O250" s="13">
        <v>0.59973254137793286</v>
      </c>
      <c r="P250" s="9" t="s">
        <v>425</v>
      </c>
      <c r="Q250">
        <v>230.47</v>
      </c>
      <c r="R250">
        <v>230.47</v>
      </c>
      <c r="S250" t="s">
        <v>39</v>
      </c>
      <c r="T250">
        <v>358.84139691036802</v>
      </c>
      <c r="U250">
        <v>1095193.44</v>
      </c>
      <c r="V250">
        <v>1705214.3181180689</v>
      </c>
      <c r="W250" t="s">
        <v>30</v>
      </c>
      <c r="X250" t="s">
        <v>428</v>
      </c>
      <c r="Y250" t="s">
        <v>429</v>
      </c>
      <c r="Z250" t="b">
        <v>0</v>
      </c>
      <c r="AB250" t="s">
        <v>45</v>
      </c>
      <c r="AC250" t="s">
        <v>362</v>
      </c>
    </row>
    <row r="251" spans="2:29" x14ac:dyDescent="0.35">
      <c r="B251" t="s">
        <v>430</v>
      </c>
      <c r="C251">
        <v>919.51</v>
      </c>
      <c r="D251" t="s">
        <v>39</v>
      </c>
      <c r="E251" s="10">
        <v>1431.675501683744</v>
      </c>
      <c r="F251" t="s">
        <v>30</v>
      </c>
      <c r="G251" s="14">
        <v>46054</v>
      </c>
      <c r="H251">
        <v>10781</v>
      </c>
      <c r="I251">
        <v>9913237.3100000005</v>
      </c>
      <c r="J251">
        <v>580.91606364064</v>
      </c>
      <c r="K251" t="s">
        <v>426</v>
      </c>
      <c r="L251" s="9" t="s">
        <v>427</v>
      </c>
      <c r="M251" t="s">
        <v>33</v>
      </c>
      <c r="N251" s="12">
        <v>965.24552263033593</v>
      </c>
      <c r="O251" s="13">
        <v>0.67420691455231585</v>
      </c>
      <c r="P251" s="9" t="s">
        <v>430</v>
      </c>
      <c r="Q251">
        <v>299.57</v>
      </c>
      <c r="R251">
        <v>299.57</v>
      </c>
      <c r="S251" t="s">
        <v>39</v>
      </c>
      <c r="T251">
        <v>466.42997905340798</v>
      </c>
      <c r="U251">
        <v>721963.7</v>
      </c>
      <c r="V251">
        <v>1124096.2495187132</v>
      </c>
      <c r="W251" t="s">
        <v>30</v>
      </c>
      <c r="X251" t="s">
        <v>428</v>
      </c>
      <c r="Y251" t="s">
        <v>431</v>
      </c>
      <c r="Z251" t="b">
        <v>0</v>
      </c>
      <c r="AB251" t="s">
        <v>45</v>
      </c>
      <c r="AC251" t="s">
        <v>251</v>
      </c>
    </row>
    <row r="252" spans="2:29" x14ac:dyDescent="0.35">
      <c r="B252" t="s">
        <v>432</v>
      </c>
      <c r="C252">
        <v>382.58</v>
      </c>
      <c r="D252" t="s">
        <v>39</v>
      </c>
      <c r="E252" s="10">
        <v>595.67640747155201</v>
      </c>
      <c r="F252" t="s">
        <v>30</v>
      </c>
      <c r="G252" s="14">
        <v>46054</v>
      </c>
      <c r="H252">
        <v>4762</v>
      </c>
      <c r="I252">
        <v>1821845.96</v>
      </c>
      <c r="J252">
        <v>468.34508695552</v>
      </c>
      <c r="K252" t="s">
        <v>426</v>
      </c>
      <c r="L252" s="9" t="s">
        <v>427</v>
      </c>
      <c r="M252" t="s">
        <v>33</v>
      </c>
      <c r="N252" s="12">
        <v>748.40237016924812</v>
      </c>
      <c r="O252" s="13">
        <v>1.2563908202206076</v>
      </c>
      <c r="P252" s="9" t="s">
        <v>432</v>
      </c>
      <c r="Q252">
        <v>863.25</v>
      </c>
      <c r="R252">
        <v>863.25</v>
      </c>
      <c r="S252" t="s">
        <v>39</v>
      </c>
      <c r="T252">
        <v>1344.0787776408001</v>
      </c>
      <c r="U252">
        <v>8857808.25</v>
      </c>
      <c r="V252">
        <v>13791592.337372251</v>
      </c>
      <c r="W252" t="s">
        <v>30</v>
      </c>
      <c r="X252" t="s">
        <v>428</v>
      </c>
      <c r="Y252" t="s">
        <v>433</v>
      </c>
      <c r="Z252" t="b">
        <v>0</v>
      </c>
      <c r="AA252" t="s">
        <v>44</v>
      </c>
      <c r="AB252" t="s">
        <v>45</v>
      </c>
      <c r="AC252" t="s">
        <v>434</v>
      </c>
    </row>
    <row r="253" spans="2:29" x14ac:dyDescent="0.35">
      <c r="B253" t="s">
        <v>435</v>
      </c>
      <c r="C253">
        <v>590.74</v>
      </c>
      <c r="D253" t="s">
        <v>39</v>
      </c>
      <c r="E253" s="10">
        <v>919.781172433856</v>
      </c>
      <c r="F253" t="s">
        <v>30</v>
      </c>
      <c r="G253" s="14">
        <v>46054</v>
      </c>
      <c r="H253">
        <v>7133</v>
      </c>
      <c r="I253">
        <v>4213748.42</v>
      </c>
      <c r="J253">
        <v>14.916043660352001</v>
      </c>
      <c r="K253" t="s">
        <v>426</v>
      </c>
      <c r="L253" s="9" t="s">
        <v>427</v>
      </c>
      <c r="M253" t="s">
        <v>33</v>
      </c>
      <c r="N253" s="12">
        <v>523.04243703779207</v>
      </c>
      <c r="O253" s="13">
        <v>0.56865964722212825</v>
      </c>
      <c r="P253" s="9" t="s">
        <v>435</v>
      </c>
      <c r="Q253">
        <v>926.67</v>
      </c>
      <c r="R253">
        <v>926.67</v>
      </c>
      <c r="S253" t="s">
        <v>39</v>
      </c>
      <c r="T253">
        <v>1442.8236094716481</v>
      </c>
      <c r="U253">
        <v>6801757.7999999998</v>
      </c>
      <c r="V253">
        <v>10590325.293521896</v>
      </c>
      <c r="W253" t="s">
        <v>30</v>
      </c>
      <c r="X253" t="s">
        <v>428</v>
      </c>
      <c r="Y253" t="s">
        <v>436</v>
      </c>
      <c r="Z253" t="b">
        <v>0</v>
      </c>
      <c r="AB253" t="s">
        <v>45</v>
      </c>
      <c r="AC253" t="s">
        <v>251</v>
      </c>
    </row>
    <row r="254" spans="2:29" x14ac:dyDescent="0.35">
      <c r="B254" t="s">
        <v>437</v>
      </c>
      <c r="C254">
        <v>986.76</v>
      </c>
      <c r="D254" t="s">
        <v>39</v>
      </c>
      <c r="E254" s="10">
        <v>1536.383636982144</v>
      </c>
      <c r="F254" t="s">
        <v>30</v>
      </c>
      <c r="G254" s="14">
        <v>46054</v>
      </c>
      <c r="H254">
        <v>3772</v>
      </c>
      <c r="I254">
        <v>3722058.7199999997</v>
      </c>
      <c r="J254">
        <v>85124.659166945596</v>
      </c>
      <c r="K254" t="s">
        <v>426</v>
      </c>
      <c r="L254" s="9" t="s">
        <v>427</v>
      </c>
      <c r="M254" t="s">
        <v>33</v>
      </c>
      <c r="N254" s="12">
        <v>211.06668878886398</v>
      </c>
      <c r="O254" s="13">
        <v>0.13737889659086303</v>
      </c>
      <c r="P254" s="9" t="s">
        <v>437</v>
      </c>
      <c r="Q254">
        <v>851.2</v>
      </c>
      <c r="R254">
        <v>851.2</v>
      </c>
      <c r="S254" t="s">
        <v>39</v>
      </c>
      <c r="T254">
        <v>1325.31694819328</v>
      </c>
      <c r="U254">
        <v>11670803.200000001</v>
      </c>
      <c r="V254">
        <v>18171420.676678061</v>
      </c>
      <c r="W254" t="s">
        <v>30</v>
      </c>
      <c r="X254" t="s">
        <v>428</v>
      </c>
      <c r="Y254" t="s">
        <v>438</v>
      </c>
      <c r="Z254" t="b">
        <v>0</v>
      </c>
      <c r="AA254" t="s">
        <v>35</v>
      </c>
      <c r="AB254" t="s">
        <v>45</v>
      </c>
      <c r="AC254" t="s">
        <v>122</v>
      </c>
    </row>
    <row r="255" spans="2:29" x14ac:dyDescent="0.35">
      <c r="B255" t="s">
        <v>437</v>
      </c>
      <c r="C255">
        <v>991.75</v>
      </c>
      <c r="D255" t="s">
        <v>39</v>
      </c>
      <c r="E255" s="10">
        <v>1544.1530584712</v>
      </c>
      <c r="F255" t="s">
        <v>30</v>
      </c>
      <c r="G255" s="14">
        <v>46054</v>
      </c>
      <c r="H255">
        <v>7403</v>
      </c>
      <c r="I255">
        <v>7341925.25</v>
      </c>
      <c r="J255">
        <v>19314.1759937569</v>
      </c>
      <c r="K255" t="s">
        <v>426</v>
      </c>
      <c r="L255" s="9" t="s">
        <v>427</v>
      </c>
      <c r="M255" t="s">
        <v>33</v>
      </c>
      <c r="N255" s="12">
        <v>965.74376208454396</v>
      </c>
      <c r="O255" s="13">
        <v>0.62541971262919083</v>
      </c>
      <c r="P255" s="9" t="s">
        <v>437</v>
      </c>
      <c r="Q255">
        <v>371.49</v>
      </c>
      <c r="R255">
        <v>371.49</v>
      </c>
      <c r="S255" t="s">
        <v>39</v>
      </c>
      <c r="T255">
        <v>578.40929638665602</v>
      </c>
      <c r="U255">
        <v>4143227.97</v>
      </c>
      <c r="V255">
        <v>6450998.8826003745</v>
      </c>
      <c r="W255" t="s">
        <v>30</v>
      </c>
      <c r="X255" t="s">
        <v>428</v>
      </c>
      <c r="Y255" t="s">
        <v>438</v>
      </c>
      <c r="Z255" t="b">
        <v>0</v>
      </c>
      <c r="AA255" t="s">
        <v>35</v>
      </c>
      <c r="AB255" t="s">
        <v>45</v>
      </c>
      <c r="AC255" t="s">
        <v>122</v>
      </c>
    </row>
    <row r="256" spans="2:29" x14ac:dyDescent="0.35">
      <c r="B256" t="s">
        <v>437</v>
      </c>
      <c r="C256">
        <v>156.75</v>
      </c>
      <c r="D256" t="s">
        <v>39</v>
      </c>
      <c r="E256" s="10">
        <v>244.05948264720001</v>
      </c>
      <c r="F256" t="s">
        <v>30</v>
      </c>
      <c r="G256" s="14">
        <v>46054</v>
      </c>
      <c r="H256">
        <v>2034</v>
      </c>
      <c r="I256">
        <v>318829.5</v>
      </c>
      <c r="J256">
        <v>87091.134155488005</v>
      </c>
      <c r="K256" t="s">
        <v>426</v>
      </c>
      <c r="L256" s="9" t="s">
        <v>427</v>
      </c>
      <c r="M256" t="s">
        <v>33</v>
      </c>
      <c r="N256" s="12">
        <v>1258.7397011247363</v>
      </c>
      <c r="O256" s="13">
        <v>5.1575119617224887</v>
      </c>
      <c r="P256" s="9" t="s">
        <v>437</v>
      </c>
      <c r="Q256">
        <v>965.19</v>
      </c>
      <c r="R256">
        <v>965.19</v>
      </c>
      <c r="S256" t="s">
        <v>39</v>
      </c>
      <c r="T256">
        <v>1502.7991837719362</v>
      </c>
      <c r="U256">
        <v>15511568.49</v>
      </c>
      <c r="V256">
        <v>24151485.682398789</v>
      </c>
      <c r="W256" t="s">
        <v>30</v>
      </c>
      <c r="X256" t="s">
        <v>428</v>
      </c>
      <c r="Y256" t="s">
        <v>438</v>
      </c>
      <c r="Z256" t="b">
        <v>0</v>
      </c>
      <c r="AA256" t="s">
        <v>35</v>
      </c>
      <c r="AB256" t="s">
        <v>45</v>
      </c>
      <c r="AC256" t="s">
        <v>122</v>
      </c>
    </row>
    <row r="257" spans="2:29" x14ac:dyDescent="0.35">
      <c r="B257" t="s">
        <v>439</v>
      </c>
      <c r="C257">
        <v>12.79</v>
      </c>
      <c r="D257" t="s">
        <v>39</v>
      </c>
      <c r="E257" s="10">
        <v>19.914008185375998</v>
      </c>
      <c r="F257" t="s">
        <v>30</v>
      </c>
      <c r="G257" s="14">
        <v>46054</v>
      </c>
      <c r="H257">
        <v>2537</v>
      </c>
      <c r="I257">
        <v>32448.23</v>
      </c>
      <c r="J257">
        <v>27732.7616083918</v>
      </c>
      <c r="K257" t="s">
        <v>426</v>
      </c>
      <c r="L257" s="9" t="s">
        <v>427</v>
      </c>
      <c r="M257" t="s">
        <v>33</v>
      </c>
      <c r="N257" s="12">
        <v>93.918137118207994</v>
      </c>
      <c r="O257" s="13">
        <v>4.7161845191555907</v>
      </c>
      <c r="P257" s="9" t="s">
        <v>439</v>
      </c>
      <c r="Q257">
        <v>73.11</v>
      </c>
      <c r="R257">
        <v>73.11</v>
      </c>
      <c r="S257" t="s">
        <v>39</v>
      </c>
      <c r="T257">
        <v>113.832145303584</v>
      </c>
      <c r="U257">
        <v>1346978.64</v>
      </c>
      <c r="V257">
        <v>2097243.4450732316</v>
      </c>
      <c r="W257" t="s">
        <v>30</v>
      </c>
      <c r="X257" t="s">
        <v>428</v>
      </c>
      <c r="Y257" t="s">
        <v>440</v>
      </c>
      <c r="Z257" t="b">
        <v>0</v>
      </c>
      <c r="AA257" t="s">
        <v>44</v>
      </c>
      <c r="AB257" t="s">
        <v>45</v>
      </c>
      <c r="AC257" t="s">
        <v>187</v>
      </c>
    </row>
    <row r="258" spans="2:29" x14ac:dyDescent="0.35">
      <c r="B258" t="s">
        <v>439</v>
      </c>
      <c r="C258">
        <v>658.98</v>
      </c>
      <c r="D258" t="s">
        <v>39</v>
      </c>
      <c r="E258" s="10">
        <v>1026.0307360437121</v>
      </c>
      <c r="F258" t="s">
        <v>30</v>
      </c>
      <c r="G258" s="14">
        <v>46054</v>
      </c>
      <c r="H258">
        <v>13454</v>
      </c>
      <c r="I258">
        <v>8865916.9199999999</v>
      </c>
      <c r="J258">
        <v>27732.7616083918</v>
      </c>
      <c r="K258" t="s">
        <v>426</v>
      </c>
      <c r="L258" s="9" t="s">
        <v>427</v>
      </c>
      <c r="M258" t="s">
        <v>33</v>
      </c>
      <c r="N258" s="12">
        <v>212.9817966909759</v>
      </c>
      <c r="O258" s="13">
        <v>0.20757837870648566</v>
      </c>
      <c r="P258" s="9" t="s">
        <v>439</v>
      </c>
      <c r="Q258">
        <v>795.77</v>
      </c>
      <c r="R258">
        <v>795.77</v>
      </c>
      <c r="S258" t="s">
        <v>39</v>
      </c>
      <c r="T258">
        <v>1239.012532734688</v>
      </c>
      <c r="U258">
        <v>7324267.0800000001</v>
      </c>
      <c r="V258">
        <v>11403871.351290068</v>
      </c>
      <c r="W258" t="s">
        <v>30</v>
      </c>
      <c r="X258" t="s">
        <v>428</v>
      </c>
      <c r="Y258" t="s">
        <v>440</v>
      </c>
      <c r="Z258" t="b">
        <v>0</v>
      </c>
      <c r="AA258" t="s">
        <v>44</v>
      </c>
      <c r="AB258" t="s">
        <v>45</v>
      </c>
      <c r="AC258" t="s">
        <v>187</v>
      </c>
    </row>
    <row r="259" spans="2:29" x14ac:dyDescent="0.35">
      <c r="B259" t="s">
        <v>439</v>
      </c>
      <c r="C259">
        <v>324.95999999999998</v>
      </c>
      <c r="D259" t="s">
        <v>39</v>
      </c>
      <c r="E259" s="10">
        <v>505.96216574822398</v>
      </c>
      <c r="F259" t="s">
        <v>30</v>
      </c>
      <c r="G259" s="14">
        <v>46054</v>
      </c>
      <c r="H259">
        <v>14801</v>
      </c>
      <c r="I259">
        <v>4809732.96</v>
      </c>
      <c r="J259">
        <v>30253.9217546092</v>
      </c>
      <c r="K259" t="s">
        <v>426</v>
      </c>
      <c r="L259" s="9" t="s">
        <v>427</v>
      </c>
      <c r="M259" t="s">
        <v>33</v>
      </c>
      <c r="N259" s="12">
        <v>465.83831970153602</v>
      </c>
      <c r="O259" s="13">
        <v>0.92069793205317585</v>
      </c>
      <c r="P259" s="9" t="s">
        <v>439</v>
      </c>
      <c r="Q259">
        <v>624.15</v>
      </c>
      <c r="R259">
        <v>624.15</v>
      </c>
      <c r="S259" t="s">
        <v>39</v>
      </c>
      <c r="T259">
        <v>971.80048544976</v>
      </c>
      <c r="U259">
        <v>2936001.6</v>
      </c>
      <c r="V259">
        <v>4571349.4835556708</v>
      </c>
      <c r="W259" t="s">
        <v>30</v>
      </c>
      <c r="X259" t="s">
        <v>428</v>
      </c>
      <c r="Y259" t="s">
        <v>440</v>
      </c>
      <c r="Z259" t="b">
        <v>0</v>
      </c>
      <c r="AA259" t="s">
        <v>44</v>
      </c>
      <c r="AB259" t="s">
        <v>45</v>
      </c>
      <c r="AC259" t="s">
        <v>187</v>
      </c>
    </row>
    <row r="260" spans="2:29" x14ac:dyDescent="0.35">
      <c r="B260" t="s">
        <v>439</v>
      </c>
      <c r="C260">
        <v>237.02</v>
      </c>
      <c r="D260" t="s">
        <v>39</v>
      </c>
      <c r="E260" s="10">
        <v>369.03973573868802</v>
      </c>
      <c r="F260" t="s">
        <v>30</v>
      </c>
      <c r="G260" s="14">
        <v>46054</v>
      </c>
      <c r="H260">
        <v>9046</v>
      </c>
      <c r="I260">
        <v>2144082.92</v>
      </c>
      <c r="J260">
        <v>20169.281169739501</v>
      </c>
      <c r="K260" t="s">
        <v>426</v>
      </c>
      <c r="L260" s="9" t="s">
        <v>427</v>
      </c>
      <c r="M260" t="s">
        <v>33</v>
      </c>
      <c r="N260" s="12">
        <v>825.83189534975986</v>
      </c>
      <c r="O260" s="13">
        <v>2.237785840857311</v>
      </c>
      <c r="P260" s="9" t="s">
        <v>439</v>
      </c>
      <c r="Q260">
        <v>767.42</v>
      </c>
      <c r="R260">
        <v>767.42</v>
      </c>
      <c r="S260" t="s">
        <v>39</v>
      </c>
      <c r="T260">
        <v>1194.8716310884479</v>
      </c>
      <c r="U260">
        <v>11476766.1</v>
      </c>
      <c r="V260">
        <v>17869305.242927738</v>
      </c>
      <c r="W260" t="s">
        <v>30</v>
      </c>
      <c r="X260" t="s">
        <v>428</v>
      </c>
      <c r="Y260" t="s">
        <v>440</v>
      </c>
      <c r="Z260" t="b">
        <v>0</v>
      </c>
      <c r="AA260" t="s">
        <v>44</v>
      </c>
      <c r="AB260" t="s">
        <v>45</v>
      </c>
      <c r="AC260" t="s">
        <v>187</v>
      </c>
    </row>
    <row r="261" spans="2:29" x14ac:dyDescent="0.35">
      <c r="B261" t="s">
        <v>439</v>
      </c>
      <c r="C261">
        <v>139.02000000000001</v>
      </c>
      <c r="D261" t="s">
        <v>39</v>
      </c>
      <c r="E261" s="10">
        <v>216.45390288748803</v>
      </c>
      <c r="F261" t="s">
        <v>30</v>
      </c>
      <c r="G261" s="14">
        <v>46054</v>
      </c>
      <c r="H261">
        <v>8731</v>
      </c>
      <c r="I261">
        <v>1213783.6200000001</v>
      </c>
      <c r="J261">
        <v>30253.9217546092</v>
      </c>
      <c r="K261" t="s">
        <v>426</v>
      </c>
      <c r="L261" s="9" t="s">
        <v>427</v>
      </c>
      <c r="M261" t="s">
        <v>33</v>
      </c>
      <c r="N261" s="12">
        <v>1185.6074912367681</v>
      </c>
      <c r="O261" s="13">
        <v>5.4774133218241978</v>
      </c>
      <c r="P261" s="9" t="s">
        <v>439</v>
      </c>
      <c r="Q261">
        <v>900.49</v>
      </c>
      <c r="R261">
        <v>900.49</v>
      </c>
      <c r="S261" t="s">
        <v>39</v>
      </c>
      <c r="T261">
        <v>1402.0613941242561</v>
      </c>
      <c r="U261">
        <v>1818989.8</v>
      </c>
      <c r="V261">
        <v>2832164.0161309973</v>
      </c>
      <c r="W261" t="s">
        <v>30</v>
      </c>
      <c r="X261" t="s">
        <v>428</v>
      </c>
      <c r="Y261" t="s">
        <v>440</v>
      </c>
      <c r="Z261" t="b">
        <v>0</v>
      </c>
      <c r="AA261" t="s">
        <v>44</v>
      </c>
      <c r="AB261" t="s">
        <v>45</v>
      </c>
      <c r="AC261" t="s">
        <v>187</v>
      </c>
    </row>
    <row r="262" spans="2:29" x14ac:dyDescent="0.35">
      <c r="B262" t="s">
        <v>441</v>
      </c>
      <c r="C262">
        <v>894.5</v>
      </c>
      <c r="D262" t="s">
        <v>39</v>
      </c>
      <c r="E262" s="10">
        <v>1392.7349743408001</v>
      </c>
      <c r="F262" t="s">
        <v>30</v>
      </c>
      <c r="G262" s="14">
        <v>46054</v>
      </c>
      <c r="H262">
        <v>16738</v>
      </c>
      <c r="I262">
        <v>14972141</v>
      </c>
      <c r="J262">
        <v>23936.419859060701</v>
      </c>
      <c r="K262" t="s">
        <v>426</v>
      </c>
      <c r="L262" s="9" t="s">
        <v>427</v>
      </c>
      <c r="M262" t="s">
        <v>33</v>
      </c>
      <c r="N262" s="12">
        <v>232.47541533686399</v>
      </c>
      <c r="O262" s="13">
        <v>0.16692006707657908</v>
      </c>
      <c r="P262" s="9" t="s">
        <v>441</v>
      </c>
      <c r="Q262">
        <v>745.19</v>
      </c>
      <c r="R262">
        <v>745.19</v>
      </c>
      <c r="S262" t="s">
        <v>39</v>
      </c>
      <c r="T262">
        <v>1160.2595590039361</v>
      </c>
      <c r="U262">
        <v>10796312.720000001</v>
      </c>
      <c r="V262">
        <v>16809840.490849026</v>
      </c>
      <c r="W262" t="s">
        <v>30</v>
      </c>
      <c r="X262" t="s">
        <v>428</v>
      </c>
      <c r="Y262" t="s">
        <v>442</v>
      </c>
      <c r="Z262" t="b">
        <v>0</v>
      </c>
      <c r="AA262" t="s">
        <v>44</v>
      </c>
      <c r="AB262" t="s">
        <v>45</v>
      </c>
      <c r="AC262" t="s">
        <v>187</v>
      </c>
    </row>
    <row r="263" spans="2:29" x14ac:dyDescent="0.35">
      <c r="B263" t="s">
        <v>441</v>
      </c>
      <c r="C263">
        <v>110.12</v>
      </c>
      <c r="D263" t="s">
        <v>39</v>
      </c>
      <c r="E263" s="10">
        <v>171.45665217932802</v>
      </c>
      <c r="F263" t="s">
        <v>30</v>
      </c>
      <c r="G263" s="14">
        <v>46054</v>
      </c>
      <c r="H263">
        <v>19311</v>
      </c>
      <c r="I263">
        <v>2126527.3200000003</v>
      </c>
      <c r="J263">
        <v>23936.419859060701</v>
      </c>
      <c r="K263" t="s">
        <v>426</v>
      </c>
      <c r="L263" s="9" t="s">
        <v>427</v>
      </c>
      <c r="M263" t="s">
        <v>33</v>
      </c>
      <c r="N263" s="12">
        <v>408.71205228000008</v>
      </c>
      <c r="O263" s="13">
        <v>2.383763167453687</v>
      </c>
      <c r="P263" s="9" t="s">
        <v>441</v>
      </c>
      <c r="Q263">
        <v>372.62</v>
      </c>
      <c r="R263">
        <v>372.62</v>
      </c>
      <c r="S263" t="s">
        <v>39</v>
      </c>
      <c r="T263">
        <v>580.16870445932807</v>
      </c>
      <c r="U263">
        <v>478071.46</v>
      </c>
      <c r="V263">
        <v>744356.44782131794</v>
      </c>
      <c r="W263" t="s">
        <v>30</v>
      </c>
      <c r="X263" t="s">
        <v>428</v>
      </c>
      <c r="Y263" t="s">
        <v>442</v>
      </c>
      <c r="Z263" t="b">
        <v>0</v>
      </c>
      <c r="AA263" t="s">
        <v>44</v>
      </c>
      <c r="AB263" t="s">
        <v>45</v>
      </c>
      <c r="AC263" t="s">
        <v>187</v>
      </c>
    </row>
    <row r="264" spans="2:29" x14ac:dyDescent="0.35">
      <c r="B264" t="s">
        <v>441</v>
      </c>
      <c r="C264">
        <v>328.57</v>
      </c>
      <c r="D264" t="s">
        <v>39</v>
      </c>
      <c r="E264" s="10">
        <v>511.582929591008</v>
      </c>
      <c r="F264" t="s">
        <v>30</v>
      </c>
      <c r="G264" s="14">
        <v>46054</v>
      </c>
      <c r="H264">
        <v>2918</v>
      </c>
      <c r="I264">
        <v>958767.26</v>
      </c>
      <c r="J264">
        <v>11968.2099295304</v>
      </c>
      <c r="K264" t="s">
        <v>426</v>
      </c>
      <c r="L264" s="9" t="s">
        <v>427</v>
      </c>
      <c r="M264" t="s">
        <v>33</v>
      </c>
      <c r="N264" s="12">
        <v>340.07956746284799</v>
      </c>
      <c r="O264" s="13">
        <v>0.66475941199744348</v>
      </c>
      <c r="P264" s="9" t="s">
        <v>441</v>
      </c>
      <c r="Q264">
        <v>546.99</v>
      </c>
      <c r="R264">
        <v>546.99</v>
      </c>
      <c r="S264" t="s">
        <v>39</v>
      </c>
      <c r="T264">
        <v>851.66249705385599</v>
      </c>
      <c r="U264">
        <v>9960687.9000000004</v>
      </c>
      <c r="V264">
        <v>15508774.071350718</v>
      </c>
      <c r="W264" t="s">
        <v>30</v>
      </c>
      <c r="X264" t="s">
        <v>428</v>
      </c>
      <c r="Y264" t="s">
        <v>442</v>
      </c>
      <c r="Z264" t="b">
        <v>0</v>
      </c>
      <c r="AA264" t="s">
        <v>44</v>
      </c>
      <c r="AB264" t="s">
        <v>45</v>
      </c>
      <c r="AC264" t="s">
        <v>187</v>
      </c>
    </row>
    <row r="265" spans="2:29" x14ac:dyDescent="0.35">
      <c r="B265" t="s">
        <v>441</v>
      </c>
      <c r="C265">
        <v>432.56</v>
      </c>
      <c r="D265" t="s">
        <v>39</v>
      </c>
      <c r="E265" s="10">
        <v>673.49518222566405</v>
      </c>
      <c r="F265" t="s">
        <v>30</v>
      </c>
      <c r="G265" s="14">
        <v>46054</v>
      </c>
      <c r="H265">
        <v>19714</v>
      </c>
      <c r="I265">
        <v>8527487.8399999999</v>
      </c>
      <c r="J265">
        <v>2992.07116636212</v>
      </c>
      <c r="K265" t="s">
        <v>426</v>
      </c>
      <c r="L265" s="9" t="s">
        <v>427</v>
      </c>
      <c r="M265" t="s">
        <v>33</v>
      </c>
      <c r="N265" s="12">
        <v>189.86037201913604</v>
      </c>
      <c r="O265" s="13">
        <v>0.28190308858886631</v>
      </c>
      <c r="P265" s="9" t="s">
        <v>441</v>
      </c>
      <c r="Q265">
        <v>310.62</v>
      </c>
      <c r="R265">
        <v>310.62</v>
      </c>
      <c r="S265" t="s">
        <v>39</v>
      </c>
      <c r="T265">
        <v>483.63481020652802</v>
      </c>
      <c r="U265">
        <v>4318239.24</v>
      </c>
      <c r="V265">
        <v>6723491.1314911526</v>
      </c>
      <c r="W265" t="s">
        <v>30</v>
      </c>
      <c r="X265" t="s">
        <v>428</v>
      </c>
      <c r="Y265" t="s">
        <v>442</v>
      </c>
      <c r="Z265" t="b">
        <v>0</v>
      </c>
      <c r="AA265" t="s">
        <v>44</v>
      </c>
      <c r="AB265" t="s">
        <v>45</v>
      </c>
      <c r="AC265" t="s">
        <v>187</v>
      </c>
    </row>
    <row r="266" spans="2:29" x14ac:dyDescent="0.35">
      <c r="B266" t="s">
        <v>441</v>
      </c>
      <c r="C266">
        <v>470.21</v>
      </c>
      <c r="D266" t="s">
        <v>39</v>
      </c>
      <c r="E266" s="10">
        <v>732.11616800982404</v>
      </c>
      <c r="F266" t="s">
        <v>30</v>
      </c>
      <c r="G266" s="14">
        <v>46054</v>
      </c>
      <c r="H266">
        <v>4115</v>
      </c>
      <c r="I266">
        <v>1934914.15</v>
      </c>
      <c r="J266">
        <v>14960.262411913</v>
      </c>
      <c r="K266" t="s">
        <v>426</v>
      </c>
      <c r="L266" s="9" t="s">
        <v>427</v>
      </c>
      <c r="M266" t="s">
        <v>33</v>
      </c>
      <c r="N266" s="12">
        <v>462.39735347091198</v>
      </c>
      <c r="O266" s="13">
        <v>0.63159014057548746</v>
      </c>
      <c r="P266" s="9" t="s">
        <v>441</v>
      </c>
      <c r="Q266">
        <v>767.19</v>
      </c>
      <c r="R266">
        <v>767.19</v>
      </c>
      <c r="S266" t="s">
        <v>39</v>
      </c>
      <c r="T266">
        <v>1194.513521480736</v>
      </c>
      <c r="U266">
        <v>3801426.45</v>
      </c>
      <c r="V266">
        <v>5918814.4989370471</v>
      </c>
      <c r="W266" t="s">
        <v>30</v>
      </c>
      <c r="X266" t="s">
        <v>428</v>
      </c>
      <c r="Y266" t="s">
        <v>442</v>
      </c>
      <c r="Z266" t="b">
        <v>0</v>
      </c>
      <c r="AA266" t="s">
        <v>44</v>
      </c>
      <c r="AB266" t="s">
        <v>45</v>
      </c>
      <c r="AC266" t="s">
        <v>187</v>
      </c>
    </row>
    <row r="267" spans="2:29" x14ac:dyDescent="0.35">
      <c r="B267" t="s">
        <v>441</v>
      </c>
      <c r="C267">
        <v>858.79</v>
      </c>
      <c r="D267" t="s">
        <v>39</v>
      </c>
      <c r="E267" s="10">
        <v>1337.134565247776</v>
      </c>
      <c r="F267" t="s">
        <v>30</v>
      </c>
      <c r="G267" s="14">
        <v>46054</v>
      </c>
      <c r="H267">
        <v>11736</v>
      </c>
      <c r="I267">
        <v>10078759.439999999</v>
      </c>
      <c r="J267">
        <v>29920.524823825901</v>
      </c>
      <c r="K267" t="s">
        <v>426</v>
      </c>
      <c r="L267" s="9" t="s">
        <v>427</v>
      </c>
      <c r="M267" t="s">
        <v>33</v>
      </c>
      <c r="N267" s="12">
        <v>10.976837975519857</v>
      </c>
      <c r="O267" s="13">
        <v>8.2092246067139909E-3</v>
      </c>
      <c r="P267" s="9" t="s">
        <v>441</v>
      </c>
      <c r="Q267">
        <v>851.74</v>
      </c>
      <c r="R267">
        <v>851.74</v>
      </c>
      <c r="S267" t="s">
        <v>39</v>
      </c>
      <c r="T267">
        <v>1326.1577272722561</v>
      </c>
      <c r="U267">
        <v>7676732.6200000001</v>
      </c>
      <c r="V267">
        <v>11952659.595904844</v>
      </c>
      <c r="W267" t="s">
        <v>30</v>
      </c>
      <c r="X267" t="s">
        <v>428</v>
      </c>
      <c r="Y267" t="s">
        <v>442</v>
      </c>
      <c r="Z267" t="b">
        <v>0</v>
      </c>
      <c r="AA267" t="s">
        <v>44</v>
      </c>
      <c r="AB267" t="s">
        <v>45</v>
      </c>
      <c r="AC267" t="s">
        <v>187</v>
      </c>
    </row>
    <row r="268" spans="2:29" x14ac:dyDescent="0.35">
      <c r="B268" t="s">
        <v>443</v>
      </c>
      <c r="C268">
        <v>517.41</v>
      </c>
      <c r="D268" t="s">
        <v>39</v>
      </c>
      <c r="E268" s="10">
        <v>805.60648750550399</v>
      </c>
      <c r="F268" t="s">
        <v>30</v>
      </c>
      <c r="G268" s="14">
        <v>46054</v>
      </c>
      <c r="H268">
        <v>12212</v>
      </c>
      <c r="I268">
        <v>6318610.9199999999</v>
      </c>
      <c r="J268">
        <v>5703.3719442916899</v>
      </c>
      <c r="K268" t="s">
        <v>426</v>
      </c>
      <c r="L268" s="9" t="s">
        <v>427</v>
      </c>
      <c r="M268" t="s">
        <v>33</v>
      </c>
      <c r="N268" s="12">
        <v>347.61543920774403</v>
      </c>
      <c r="O268" s="13">
        <v>0.431495332521598</v>
      </c>
      <c r="P268" s="9" t="s">
        <v>443</v>
      </c>
      <c r="Q268">
        <v>294.14999999999998</v>
      </c>
      <c r="R268">
        <v>294.14999999999998</v>
      </c>
      <c r="S268" t="s">
        <v>39</v>
      </c>
      <c r="T268">
        <v>457.99104829775996</v>
      </c>
      <c r="U268">
        <v>4614036.8999999994</v>
      </c>
      <c r="V268">
        <v>7184047.5835986631</v>
      </c>
      <c r="W268" t="s">
        <v>30</v>
      </c>
      <c r="X268" t="s">
        <v>428</v>
      </c>
      <c r="Y268" t="s">
        <v>444</v>
      </c>
      <c r="Z268" t="b">
        <v>0</v>
      </c>
      <c r="AA268" t="s">
        <v>44</v>
      </c>
      <c r="AB268" t="s">
        <v>45</v>
      </c>
      <c r="AC268" t="s">
        <v>59</v>
      </c>
    </row>
    <row r="269" spans="2:29" x14ac:dyDescent="0.35">
      <c r="B269" t="s">
        <v>443</v>
      </c>
      <c r="C269">
        <v>649.87</v>
      </c>
      <c r="D269" t="s">
        <v>39</v>
      </c>
      <c r="E269" s="10">
        <v>1011.8464815817281</v>
      </c>
      <c r="F269" t="s">
        <v>30</v>
      </c>
      <c r="G269" s="14">
        <v>46054</v>
      </c>
      <c r="H269">
        <v>13449</v>
      </c>
      <c r="I269">
        <v>8740101.6300000008</v>
      </c>
      <c r="J269">
        <v>5703.3719442916899</v>
      </c>
      <c r="K269" t="s">
        <v>426</v>
      </c>
      <c r="L269" s="9" t="s">
        <v>427</v>
      </c>
      <c r="M269" t="s">
        <v>33</v>
      </c>
      <c r="N269" s="12">
        <v>43.191132686656033</v>
      </c>
      <c r="O269" s="13">
        <v>4.2685460168956899E-2</v>
      </c>
      <c r="P269" s="9" t="s">
        <v>443</v>
      </c>
      <c r="Q269">
        <v>622.13</v>
      </c>
      <c r="R269">
        <v>622.13</v>
      </c>
      <c r="S269" t="s">
        <v>39</v>
      </c>
      <c r="T269">
        <v>968.65534889507205</v>
      </c>
      <c r="U269">
        <v>7420766.6399999997</v>
      </c>
      <c r="V269">
        <v>11554121.001620419</v>
      </c>
      <c r="W269" t="s">
        <v>30</v>
      </c>
      <c r="X269" t="s">
        <v>428</v>
      </c>
      <c r="Y269" t="s">
        <v>444</v>
      </c>
      <c r="Z269" t="b">
        <v>0</v>
      </c>
      <c r="AA269" t="s">
        <v>44</v>
      </c>
      <c r="AB269" t="s">
        <v>45</v>
      </c>
      <c r="AC269" t="s">
        <v>59</v>
      </c>
    </row>
    <row r="270" spans="2:29" x14ac:dyDescent="0.35">
      <c r="B270" t="s">
        <v>443</v>
      </c>
      <c r="C270">
        <v>181.08</v>
      </c>
      <c r="D270" t="s">
        <v>39</v>
      </c>
      <c r="E270" s="10">
        <v>281.94125114995205</v>
      </c>
      <c r="F270" t="s">
        <v>30</v>
      </c>
      <c r="G270" s="14">
        <v>46054</v>
      </c>
      <c r="H270">
        <v>7977</v>
      </c>
      <c r="I270">
        <v>1444475.1600000001</v>
      </c>
      <c r="J270">
        <v>5703.3719442916899</v>
      </c>
      <c r="K270" t="s">
        <v>426</v>
      </c>
      <c r="L270" s="9" t="s">
        <v>427</v>
      </c>
      <c r="M270" t="s">
        <v>33</v>
      </c>
      <c r="N270" s="12">
        <v>42.94201295955196</v>
      </c>
      <c r="O270" s="13">
        <v>0.15230837199028036</v>
      </c>
      <c r="P270" s="9" t="s">
        <v>443</v>
      </c>
      <c r="Q270">
        <v>208.66</v>
      </c>
      <c r="R270">
        <v>208.66</v>
      </c>
      <c r="S270" t="s">
        <v>39</v>
      </c>
      <c r="T270">
        <v>324.88326410950401</v>
      </c>
      <c r="U270">
        <v>3050400.54</v>
      </c>
      <c r="V270">
        <v>4749468.4380168393</v>
      </c>
      <c r="W270" t="s">
        <v>30</v>
      </c>
      <c r="X270" t="s">
        <v>428</v>
      </c>
      <c r="Y270" t="s">
        <v>444</v>
      </c>
      <c r="Z270" t="b">
        <v>0</v>
      </c>
      <c r="AA270" t="s">
        <v>44</v>
      </c>
      <c r="AB270" t="s">
        <v>45</v>
      </c>
      <c r="AC270" t="s">
        <v>59</v>
      </c>
    </row>
    <row r="271" spans="2:29" x14ac:dyDescent="0.35">
      <c r="B271" t="s">
        <v>443</v>
      </c>
      <c r="C271">
        <v>235.39</v>
      </c>
      <c r="D271" t="s">
        <v>39</v>
      </c>
      <c r="E271" s="10">
        <v>366.50182851881601</v>
      </c>
      <c r="F271" t="s">
        <v>30</v>
      </c>
      <c r="G271" s="14">
        <v>46054</v>
      </c>
      <c r="H271">
        <v>16784</v>
      </c>
      <c r="I271">
        <v>3950785.76</v>
      </c>
      <c r="J271">
        <v>2851.71088411855</v>
      </c>
      <c r="K271" t="s">
        <v>426</v>
      </c>
      <c r="L271" s="9" t="s">
        <v>427</v>
      </c>
      <c r="M271" t="s">
        <v>33</v>
      </c>
      <c r="N271" s="12">
        <v>327.07863170460797</v>
      </c>
      <c r="O271" s="13">
        <v>0.89243383321296565</v>
      </c>
      <c r="P271" s="9" t="s">
        <v>443</v>
      </c>
      <c r="Q271">
        <v>445.46</v>
      </c>
      <c r="R271">
        <v>445.46</v>
      </c>
      <c r="S271" t="s">
        <v>39</v>
      </c>
      <c r="T271">
        <v>693.58046022342398</v>
      </c>
      <c r="U271">
        <v>1656665.74</v>
      </c>
      <c r="V271">
        <v>2579425.7315709139</v>
      </c>
      <c r="W271" t="s">
        <v>30</v>
      </c>
      <c r="X271" t="s">
        <v>428</v>
      </c>
      <c r="Y271" t="s">
        <v>444</v>
      </c>
      <c r="Z271" t="b">
        <v>0</v>
      </c>
      <c r="AA271" t="s">
        <v>44</v>
      </c>
      <c r="AB271" t="s">
        <v>45</v>
      </c>
      <c r="AC271" t="s">
        <v>59</v>
      </c>
    </row>
    <row r="272" spans="2:29" x14ac:dyDescent="0.35">
      <c r="B272" t="s">
        <v>443</v>
      </c>
      <c r="C272">
        <v>627.83000000000004</v>
      </c>
      <c r="D272" t="s">
        <v>39</v>
      </c>
      <c r="E272" s="10">
        <v>977.53023917315204</v>
      </c>
      <c r="F272" t="s">
        <v>30</v>
      </c>
      <c r="G272" s="14">
        <v>46054</v>
      </c>
      <c r="H272">
        <v>1574</v>
      </c>
      <c r="I272">
        <v>988204.42</v>
      </c>
      <c r="J272">
        <v>5703.3719442916899</v>
      </c>
      <c r="K272" t="s">
        <v>426</v>
      </c>
      <c r="L272" s="9" t="s">
        <v>427</v>
      </c>
      <c r="M272" t="s">
        <v>33</v>
      </c>
      <c r="N272" s="12">
        <v>492.02703101334401</v>
      </c>
      <c r="O272" s="13">
        <v>0.50333689055954633</v>
      </c>
      <c r="P272" s="9" t="s">
        <v>443</v>
      </c>
      <c r="Q272">
        <v>311.82</v>
      </c>
      <c r="R272">
        <v>311.82</v>
      </c>
      <c r="S272" t="s">
        <v>39</v>
      </c>
      <c r="T272">
        <v>485.50320815980803</v>
      </c>
      <c r="U272">
        <v>5030280.24</v>
      </c>
      <c r="V272">
        <v>7832137.7540340228</v>
      </c>
      <c r="W272" t="s">
        <v>30</v>
      </c>
      <c r="X272" t="s">
        <v>428</v>
      </c>
      <c r="Y272" t="s">
        <v>444</v>
      </c>
      <c r="Z272" t="b">
        <v>0</v>
      </c>
      <c r="AA272" t="s">
        <v>44</v>
      </c>
      <c r="AB272" t="s">
        <v>45</v>
      </c>
      <c r="AC272" t="s">
        <v>59</v>
      </c>
    </row>
    <row r="273" spans="2:29" x14ac:dyDescent="0.35">
      <c r="B273" t="s">
        <v>443</v>
      </c>
      <c r="C273">
        <v>531.07000000000005</v>
      </c>
      <c r="D273" t="s">
        <v>39</v>
      </c>
      <c r="E273" s="10">
        <v>826.87508420700806</v>
      </c>
      <c r="F273" t="s">
        <v>30</v>
      </c>
      <c r="G273" s="14">
        <v>46054</v>
      </c>
      <c r="H273">
        <v>14001</v>
      </c>
      <c r="I273">
        <v>7435511.0700000003</v>
      </c>
      <c r="J273">
        <v>8555.0952843966006</v>
      </c>
      <c r="K273" t="s">
        <v>426</v>
      </c>
      <c r="L273" s="9" t="s">
        <v>427</v>
      </c>
      <c r="M273" t="s">
        <v>33</v>
      </c>
      <c r="N273" s="12">
        <v>258.49285683628807</v>
      </c>
      <c r="O273" s="13">
        <v>0.31261415632590811</v>
      </c>
      <c r="P273" s="9" t="s">
        <v>443</v>
      </c>
      <c r="Q273">
        <v>365.05</v>
      </c>
      <c r="R273">
        <v>365.05</v>
      </c>
      <c r="S273" t="s">
        <v>39</v>
      </c>
      <c r="T273">
        <v>568.38222737071999</v>
      </c>
      <c r="U273">
        <v>1280960.45</v>
      </c>
      <c r="V273">
        <v>1994453.2358438564</v>
      </c>
      <c r="W273" t="s">
        <v>30</v>
      </c>
      <c r="X273" t="s">
        <v>428</v>
      </c>
      <c r="Y273" t="s">
        <v>444</v>
      </c>
      <c r="Z273" t="b">
        <v>0</v>
      </c>
      <c r="AA273" t="s">
        <v>44</v>
      </c>
      <c r="AB273" t="s">
        <v>45</v>
      </c>
      <c r="AC273" t="s">
        <v>59</v>
      </c>
    </row>
    <row r="274" spans="2:29" x14ac:dyDescent="0.35">
      <c r="B274" t="s">
        <v>445</v>
      </c>
      <c r="C274">
        <v>511.8</v>
      </c>
      <c r="D274" t="s">
        <v>39</v>
      </c>
      <c r="E274" s="10">
        <v>796.87172707392006</v>
      </c>
      <c r="F274" t="s">
        <v>30</v>
      </c>
      <c r="G274" s="14">
        <v>46054</v>
      </c>
      <c r="H274">
        <v>6070</v>
      </c>
      <c r="I274">
        <v>3106626</v>
      </c>
      <c r="J274">
        <v>16206.297006955399</v>
      </c>
      <c r="K274" t="s">
        <v>426</v>
      </c>
      <c r="L274" s="9" t="s">
        <v>427</v>
      </c>
      <c r="M274" t="s">
        <v>33</v>
      </c>
      <c r="N274" s="12">
        <v>721.21717994902406</v>
      </c>
      <c r="O274" s="13">
        <v>0.90506057053536537</v>
      </c>
      <c r="P274" s="9" t="s">
        <v>445</v>
      </c>
      <c r="Q274">
        <v>975.01</v>
      </c>
      <c r="R274">
        <v>975.01</v>
      </c>
      <c r="S274" t="s">
        <v>39</v>
      </c>
      <c r="T274">
        <v>1518.0889070229441</v>
      </c>
      <c r="U274">
        <v>16090590.029999999</v>
      </c>
      <c r="V274">
        <v>25053021.232599646</v>
      </c>
      <c r="W274" t="s">
        <v>30</v>
      </c>
      <c r="X274" t="s">
        <v>428</v>
      </c>
      <c r="Y274" t="s">
        <v>446</v>
      </c>
      <c r="Z274" t="b">
        <v>0</v>
      </c>
      <c r="AA274" t="s">
        <v>44</v>
      </c>
      <c r="AB274" t="s">
        <v>45</v>
      </c>
      <c r="AC274" t="s">
        <v>187</v>
      </c>
    </row>
    <row r="275" spans="2:29" x14ac:dyDescent="0.35">
      <c r="B275" t="s">
        <v>445</v>
      </c>
      <c r="C275">
        <v>43.38</v>
      </c>
      <c r="D275" t="s">
        <v>39</v>
      </c>
      <c r="E275" s="10">
        <v>67.542586011072004</v>
      </c>
      <c r="F275" t="s">
        <v>30</v>
      </c>
      <c r="G275" s="14">
        <v>46054</v>
      </c>
      <c r="H275">
        <v>1468</v>
      </c>
      <c r="I275">
        <v>63681.840000000004</v>
      </c>
      <c r="J275">
        <v>11344.4079048688</v>
      </c>
      <c r="K275" t="s">
        <v>426</v>
      </c>
      <c r="L275" s="9" t="s">
        <v>427</v>
      </c>
      <c r="M275" t="s">
        <v>33</v>
      </c>
      <c r="N275" s="12">
        <v>547.64301008931204</v>
      </c>
      <c r="O275" s="13">
        <v>8.1081143384047945</v>
      </c>
      <c r="P275" s="9" t="s">
        <v>445</v>
      </c>
      <c r="Q275">
        <v>395.11</v>
      </c>
      <c r="R275">
        <v>395.11</v>
      </c>
      <c r="S275" t="s">
        <v>39</v>
      </c>
      <c r="T275">
        <v>615.18559610038403</v>
      </c>
      <c r="U275">
        <v>3811626.17</v>
      </c>
      <c r="V275">
        <v>5934695.4455804052</v>
      </c>
      <c r="W275" t="s">
        <v>30</v>
      </c>
      <c r="X275" t="s">
        <v>428</v>
      </c>
      <c r="Y275" t="s">
        <v>446</v>
      </c>
      <c r="Z275" t="b">
        <v>0</v>
      </c>
      <c r="AA275" t="s">
        <v>44</v>
      </c>
      <c r="AB275" t="s">
        <v>45</v>
      </c>
      <c r="AC275" t="s">
        <v>187</v>
      </c>
    </row>
    <row r="276" spans="2:29" x14ac:dyDescent="0.35">
      <c r="B276" t="s">
        <v>445</v>
      </c>
      <c r="C276">
        <v>0.57999999999999996</v>
      </c>
      <c r="D276" t="s">
        <v>39</v>
      </c>
      <c r="E276" s="10">
        <v>0.90305901075200001</v>
      </c>
      <c r="F276" t="s">
        <v>30</v>
      </c>
      <c r="G276" s="14">
        <v>46054</v>
      </c>
      <c r="H276">
        <v>10147</v>
      </c>
      <c r="I276">
        <v>5885.2599999999993</v>
      </c>
      <c r="J276">
        <v>4861.8891020866204</v>
      </c>
      <c r="K276" t="s">
        <v>426</v>
      </c>
      <c r="L276" s="9" t="s">
        <v>427</v>
      </c>
      <c r="M276" t="s">
        <v>33</v>
      </c>
      <c r="N276" s="12">
        <v>1293.2272133456959</v>
      </c>
      <c r="O276" s="13">
        <v>1432.0517241379309</v>
      </c>
      <c r="P276" s="9" t="s">
        <v>445</v>
      </c>
      <c r="Q276">
        <v>831.17</v>
      </c>
      <c r="R276">
        <v>831.17</v>
      </c>
      <c r="S276" t="s">
        <v>39</v>
      </c>
      <c r="T276">
        <v>1294.1302723564479</v>
      </c>
      <c r="U276">
        <v>13247187.459999999</v>
      </c>
      <c r="V276">
        <v>20625848.280817065</v>
      </c>
      <c r="W276" t="s">
        <v>30</v>
      </c>
      <c r="X276" t="s">
        <v>428</v>
      </c>
      <c r="Y276" t="s">
        <v>446</v>
      </c>
      <c r="Z276" t="b">
        <v>0</v>
      </c>
      <c r="AA276" t="s">
        <v>44</v>
      </c>
      <c r="AB276" t="s">
        <v>45</v>
      </c>
      <c r="AC276" t="s">
        <v>187</v>
      </c>
    </row>
    <row r="277" spans="2:29" x14ac:dyDescent="0.35">
      <c r="B277" t="s">
        <v>445</v>
      </c>
      <c r="C277">
        <v>125.66</v>
      </c>
      <c r="D277" t="s">
        <v>39</v>
      </c>
      <c r="E277" s="10">
        <v>195.65240567430399</v>
      </c>
      <c r="F277" t="s">
        <v>30</v>
      </c>
      <c r="G277" s="14">
        <v>46054</v>
      </c>
      <c r="H277">
        <v>15714</v>
      </c>
      <c r="I277">
        <v>1974621.24</v>
      </c>
      <c r="J277">
        <v>11344.4079048688</v>
      </c>
      <c r="K277" t="s">
        <v>426</v>
      </c>
      <c r="L277" s="9" t="s">
        <v>427</v>
      </c>
      <c r="M277" t="s">
        <v>33</v>
      </c>
      <c r="N277" s="12">
        <v>328.99373960672006</v>
      </c>
      <c r="O277" s="13">
        <v>1.6815215661308296</v>
      </c>
      <c r="P277" s="9" t="s">
        <v>445</v>
      </c>
      <c r="Q277">
        <v>336.96</v>
      </c>
      <c r="R277">
        <v>336.96</v>
      </c>
      <c r="S277" t="s">
        <v>39</v>
      </c>
      <c r="T277">
        <v>524.64614528102402</v>
      </c>
      <c r="U277">
        <v>36728.639999999999</v>
      </c>
      <c r="V277">
        <v>57186.429835631621</v>
      </c>
      <c r="W277" t="s">
        <v>30</v>
      </c>
      <c r="X277" t="s">
        <v>428</v>
      </c>
      <c r="Y277" t="s">
        <v>446</v>
      </c>
      <c r="Z277" t="b">
        <v>0</v>
      </c>
      <c r="AA277" t="s">
        <v>44</v>
      </c>
      <c r="AB277" t="s">
        <v>45</v>
      </c>
      <c r="AC277" t="s">
        <v>187</v>
      </c>
    </row>
    <row r="278" spans="2:29" x14ac:dyDescent="0.35">
      <c r="B278" t="s">
        <v>445</v>
      </c>
      <c r="C278">
        <v>964.99</v>
      </c>
      <c r="D278" t="s">
        <v>39</v>
      </c>
      <c r="E278" s="10">
        <v>1502.487784113056</v>
      </c>
      <c r="F278" t="s">
        <v>30</v>
      </c>
      <c r="G278" s="14">
        <v>46054</v>
      </c>
      <c r="H278">
        <v>1472</v>
      </c>
      <c r="I278">
        <v>1420465.28</v>
      </c>
      <c r="J278">
        <v>4861.8891020866204</v>
      </c>
      <c r="K278" t="s">
        <v>426</v>
      </c>
      <c r="L278" s="9" t="s">
        <v>427</v>
      </c>
      <c r="M278" t="s">
        <v>33</v>
      </c>
      <c r="N278" s="12">
        <v>111.0451183566081</v>
      </c>
      <c r="O278" s="13">
        <v>7.3907501632141326E-2</v>
      </c>
      <c r="P278" s="9" t="s">
        <v>445</v>
      </c>
      <c r="Q278">
        <v>893.67</v>
      </c>
      <c r="R278">
        <v>893.67</v>
      </c>
      <c r="S278" t="s">
        <v>39</v>
      </c>
      <c r="T278">
        <v>1391.4426657564479</v>
      </c>
      <c r="U278">
        <v>4047431.4299999997</v>
      </c>
      <c r="V278">
        <v>6301843.8332109526</v>
      </c>
      <c r="W278" t="s">
        <v>30</v>
      </c>
      <c r="X278" t="s">
        <v>428</v>
      </c>
      <c r="Y278" t="s">
        <v>446</v>
      </c>
      <c r="Z278" t="b">
        <v>0</v>
      </c>
      <c r="AA278" t="s">
        <v>44</v>
      </c>
      <c r="AB278" t="s">
        <v>45</v>
      </c>
      <c r="AC278" t="s">
        <v>187</v>
      </c>
    </row>
    <row r="279" spans="2:29" x14ac:dyDescent="0.35">
      <c r="B279" t="s">
        <v>445</v>
      </c>
      <c r="C279">
        <v>916.49</v>
      </c>
      <c r="D279" t="s">
        <v>39</v>
      </c>
      <c r="E279" s="10">
        <v>1426.973366834656</v>
      </c>
      <c r="F279" t="s">
        <v>30</v>
      </c>
      <c r="G279" s="14">
        <v>46054</v>
      </c>
      <c r="H279">
        <v>14006</v>
      </c>
      <c r="I279">
        <v>12836358.939999999</v>
      </c>
      <c r="J279">
        <v>4861.8891020866204</v>
      </c>
      <c r="K279" t="s">
        <v>426</v>
      </c>
      <c r="L279" s="9" t="s">
        <v>427</v>
      </c>
      <c r="M279" t="s">
        <v>33</v>
      </c>
      <c r="N279" s="12">
        <v>1248.8683319382399</v>
      </c>
      <c r="O279" s="13">
        <v>0.87518685419371722</v>
      </c>
      <c r="P279" s="9" t="s">
        <v>445</v>
      </c>
      <c r="Q279">
        <v>114.39</v>
      </c>
      <c r="R279">
        <v>114.39</v>
      </c>
      <c r="S279" t="s">
        <v>39</v>
      </c>
      <c r="T279">
        <v>178.10503489641602</v>
      </c>
      <c r="U279">
        <v>980207.91</v>
      </c>
      <c r="V279">
        <v>1526182.0440273888</v>
      </c>
      <c r="W279" t="s">
        <v>30</v>
      </c>
      <c r="X279" t="s">
        <v>428</v>
      </c>
      <c r="Y279" t="s">
        <v>446</v>
      </c>
      <c r="Z279" t="b">
        <v>0</v>
      </c>
      <c r="AA279" t="s">
        <v>44</v>
      </c>
      <c r="AB279" t="s">
        <v>45</v>
      </c>
      <c r="AC279" t="s">
        <v>187</v>
      </c>
    </row>
    <row r="280" spans="2:29" x14ac:dyDescent="0.35">
      <c r="B280" t="s">
        <v>445</v>
      </c>
      <c r="C280">
        <v>325.77999999999997</v>
      </c>
      <c r="D280" t="s">
        <v>39</v>
      </c>
      <c r="E280" s="10">
        <v>507.23890434963198</v>
      </c>
      <c r="F280" t="s">
        <v>30</v>
      </c>
      <c r="G280" s="14">
        <v>46054</v>
      </c>
      <c r="H280">
        <v>14648</v>
      </c>
      <c r="I280">
        <v>4772025.4399999995</v>
      </c>
      <c r="J280">
        <v>14585.6673062599</v>
      </c>
      <c r="K280" t="s">
        <v>426</v>
      </c>
      <c r="L280" s="9" t="s">
        <v>427</v>
      </c>
      <c r="M280" t="s">
        <v>33</v>
      </c>
      <c r="N280" s="12">
        <v>166.44311767135997</v>
      </c>
      <c r="O280" s="13">
        <v>0.32813555159923868</v>
      </c>
      <c r="P280" s="9" t="s">
        <v>445</v>
      </c>
      <c r="Q280">
        <v>218.88</v>
      </c>
      <c r="R280">
        <v>218.88</v>
      </c>
      <c r="S280" t="s">
        <v>39</v>
      </c>
      <c r="T280">
        <v>340.79578667827201</v>
      </c>
      <c r="U280">
        <v>1630218.24</v>
      </c>
      <c r="V280">
        <v>2538247.0191797698</v>
      </c>
      <c r="W280" t="s">
        <v>30</v>
      </c>
      <c r="X280" t="s">
        <v>428</v>
      </c>
      <c r="Y280" t="s">
        <v>446</v>
      </c>
      <c r="Z280" t="b">
        <v>0</v>
      </c>
      <c r="AA280" t="s">
        <v>44</v>
      </c>
      <c r="AB280" t="s">
        <v>45</v>
      </c>
      <c r="AC280" t="s">
        <v>187</v>
      </c>
    </row>
    <row r="281" spans="2:29" x14ac:dyDescent="0.35">
      <c r="B281" t="s">
        <v>447</v>
      </c>
      <c r="C281">
        <v>808.32</v>
      </c>
      <c r="D281" t="s">
        <v>39</v>
      </c>
      <c r="E281" s="10">
        <v>1258.5528613294082</v>
      </c>
      <c r="F281" t="s">
        <v>30</v>
      </c>
      <c r="G281" s="14">
        <v>46054</v>
      </c>
      <c r="H281">
        <v>6154</v>
      </c>
      <c r="I281">
        <v>4974401.28</v>
      </c>
      <c r="J281">
        <v>6600.19673387291</v>
      </c>
      <c r="K281" t="s">
        <v>426</v>
      </c>
      <c r="L281" s="9" t="s">
        <v>427</v>
      </c>
      <c r="M281" t="s">
        <v>33</v>
      </c>
      <c r="N281" s="12">
        <v>297.05970458857587</v>
      </c>
      <c r="O281" s="13">
        <v>0.2360327593032461</v>
      </c>
      <c r="P281" s="9" t="s">
        <v>447</v>
      </c>
      <c r="Q281">
        <v>999.11</v>
      </c>
      <c r="R281">
        <v>999.11</v>
      </c>
      <c r="S281" t="s">
        <v>39</v>
      </c>
      <c r="T281">
        <v>1555.6125659179841</v>
      </c>
      <c r="U281">
        <v>11430817.51</v>
      </c>
      <c r="V281">
        <v>17797763.366667654</v>
      </c>
      <c r="W281" t="s">
        <v>30</v>
      </c>
      <c r="X281" t="s">
        <v>428</v>
      </c>
      <c r="Y281" t="s">
        <v>448</v>
      </c>
      <c r="Z281" t="b">
        <v>0</v>
      </c>
      <c r="AB281" t="s">
        <v>45</v>
      </c>
      <c r="AC281" t="s">
        <v>306</v>
      </c>
    </row>
    <row r="282" spans="2:29" x14ac:dyDescent="0.35">
      <c r="B282" t="s">
        <v>449</v>
      </c>
      <c r="C282">
        <v>333.6</v>
      </c>
      <c r="D282" t="s">
        <v>39</v>
      </c>
      <c r="E282" s="10">
        <v>519.41463101184002</v>
      </c>
      <c r="F282" t="s">
        <v>30</v>
      </c>
      <c r="G282" s="14">
        <v>46054</v>
      </c>
      <c r="H282">
        <v>15196</v>
      </c>
      <c r="I282">
        <v>5069385.6000000006</v>
      </c>
      <c r="J282">
        <v>12266.6304506283</v>
      </c>
      <c r="K282" t="s">
        <v>426</v>
      </c>
      <c r="L282" s="9" t="s">
        <v>427</v>
      </c>
      <c r="M282" t="s">
        <v>33</v>
      </c>
      <c r="N282" s="12">
        <v>229.93750811699203</v>
      </c>
      <c r="O282" s="13">
        <v>0.44268585131894489</v>
      </c>
      <c r="P282" s="9" t="s">
        <v>449</v>
      </c>
      <c r="Q282">
        <v>185.92</v>
      </c>
      <c r="R282">
        <v>185.92</v>
      </c>
      <c r="S282" t="s">
        <v>39</v>
      </c>
      <c r="T282">
        <v>289.47712289484798</v>
      </c>
      <c r="U282">
        <v>3111371.1999999997</v>
      </c>
      <c r="V282">
        <v>4844399.6516452814</v>
      </c>
      <c r="W282" t="s">
        <v>30</v>
      </c>
      <c r="X282" t="s">
        <v>428</v>
      </c>
      <c r="Y282" t="s">
        <v>450</v>
      </c>
      <c r="Z282" t="b">
        <v>0</v>
      </c>
      <c r="AA282" t="s">
        <v>44</v>
      </c>
      <c r="AB282" t="s">
        <v>45</v>
      </c>
      <c r="AC282" t="s">
        <v>187</v>
      </c>
    </row>
    <row r="283" spans="2:29" x14ac:dyDescent="0.35">
      <c r="B283" t="s">
        <v>449</v>
      </c>
      <c r="C283">
        <v>515.91999999999996</v>
      </c>
      <c r="D283" t="s">
        <v>39</v>
      </c>
      <c r="E283" s="10">
        <v>803.28656004684797</v>
      </c>
      <c r="F283" t="s">
        <v>30</v>
      </c>
      <c r="G283" s="14">
        <v>46054</v>
      </c>
      <c r="H283">
        <v>10445</v>
      </c>
      <c r="I283">
        <v>5388784.3999999994</v>
      </c>
      <c r="J283">
        <v>24533.260901256501</v>
      </c>
      <c r="K283" t="s">
        <v>426</v>
      </c>
      <c r="L283" s="9" t="s">
        <v>427</v>
      </c>
      <c r="M283" t="s">
        <v>33</v>
      </c>
      <c r="N283" s="12">
        <v>590.30476335587196</v>
      </c>
      <c r="O283" s="13">
        <v>0.73486199410761355</v>
      </c>
      <c r="P283" s="9" t="s">
        <v>449</v>
      </c>
      <c r="Q283">
        <v>136.79</v>
      </c>
      <c r="R283">
        <v>136.79</v>
      </c>
      <c r="S283" t="s">
        <v>39</v>
      </c>
      <c r="T283">
        <v>212.98179669097598</v>
      </c>
      <c r="U283">
        <v>201628.46</v>
      </c>
      <c r="V283">
        <v>313935.16832249862</v>
      </c>
      <c r="W283" t="s">
        <v>30</v>
      </c>
      <c r="X283" t="s">
        <v>428</v>
      </c>
      <c r="Y283" t="s">
        <v>450</v>
      </c>
      <c r="Z283" t="b">
        <v>0</v>
      </c>
      <c r="AA283" t="s">
        <v>44</v>
      </c>
      <c r="AB283" t="s">
        <v>45</v>
      </c>
      <c r="AC283" t="s">
        <v>187</v>
      </c>
    </row>
    <row r="284" spans="2:29" x14ac:dyDescent="0.35">
      <c r="B284" t="s">
        <v>449</v>
      </c>
      <c r="C284">
        <v>591.70000000000005</v>
      </c>
      <c r="D284" t="s">
        <v>39</v>
      </c>
      <c r="E284" s="10">
        <v>921.2758907964801</v>
      </c>
      <c r="F284" t="s">
        <v>30</v>
      </c>
      <c r="G284" s="14">
        <v>46054</v>
      </c>
      <c r="H284">
        <v>14134</v>
      </c>
      <c r="I284">
        <v>8363087.8000000007</v>
      </c>
      <c r="J284">
        <v>24533.260901256501</v>
      </c>
      <c r="K284" t="s">
        <v>426</v>
      </c>
      <c r="L284" s="9" t="s">
        <v>427</v>
      </c>
      <c r="M284" t="s">
        <v>33</v>
      </c>
      <c r="N284" s="12">
        <v>550.94384647344009</v>
      </c>
      <c r="O284" s="13">
        <v>0.59802264661145854</v>
      </c>
      <c r="P284" s="9" t="s">
        <v>449</v>
      </c>
      <c r="Q284">
        <v>237.85</v>
      </c>
      <c r="R284">
        <v>237.85</v>
      </c>
      <c r="S284" t="s">
        <v>39</v>
      </c>
      <c r="T284">
        <v>370.33204432304001</v>
      </c>
      <c r="U284">
        <v>1081979.6499999999</v>
      </c>
      <c r="V284">
        <v>1684640.4696255091</v>
      </c>
      <c r="W284" t="s">
        <v>30</v>
      </c>
      <c r="X284" t="s">
        <v>428</v>
      </c>
      <c r="Y284" t="s">
        <v>450</v>
      </c>
      <c r="Z284" t="b">
        <v>0</v>
      </c>
      <c r="AA284" t="s">
        <v>44</v>
      </c>
      <c r="AB284" t="s">
        <v>45</v>
      </c>
      <c r="AC284" t="s">
        <v>187</v>
      </c>
    </row>
    <row r="285" spans="2:29" x14ac:dyDescent="0.35">
      <c r="B285" t="s">
        <v>449</v>
      </c>
      <c r="C285">
        <v>19.600000000000001</v>
      </c>
      <c r="D285" t="s">
        <v>39</v>
      </c>
      <c r="E285" s="10">
        <v>30.517166570240004</v>
      </c>
      <c r="F285" t="s">
        <v>30</v>
      </c>
      <c r="G285" s="14">
        <v>46054</v>
      </c>
      <c r="H285">
        <v>7941</v>
      </c>
      <c r="I285">
        <v>155643.6</v>
      </c>
      <c r="J285">
        <v>24533.260901256501</v>
      </c>
      <c r="K285" t="s">
        <v>426</v>
      </c>
      <c r="L285" s="9" t="s">
        <v>427</v>
      </c>
      <c r="M285" t="s">
        <v>33</v>
      </c>
      <c r="N285" s="12">
        <v>185.874456385472</v>
      </c>
      <c r="O285" s="13">
        <v>6.0908163265306117</v>
      </c>
      <c r="P285" s="9" t="s">
        <v>449</v>
      </c>
      <c r="Q285">
        <v>138.97999999999999</v>
      </c>
      <c r="R285">
        <v>138.97999999999999</v>
      </c>
      <c r="S285" t="s">
        <v>39</v>
      </c>
      <c r="T285">
        <v>216.39162295571199</v>
      </c>
      <c r="U285">
        <v>2428814.48</v>
      </c>
      <c r="V285">
        <v>3781660.002774023</v>
      </c>
      <c r="W285" t="s">
        <v>30</v>
      </c>
      <c r="X285" t="s">
        <v>428</v>
      </c>
      <c r="Y285" t="s">
        <v>450</v>
      </c>
      <c r="Z285" t="b">
        <v>0</v>
      </c>
      <c r="AA285" t="s">
        <v>44</v>
      </c>
      <c r="AB285" t="s">
        <v>45</v>
      </c>
      <c r="AC285" t="s">
        <v>187</v>
      </c>
    </row>
    <row r="286" spans="2:29" x14ac:dyDescent="0.35">
      <c r="B286" t="s">
        <v>449</v>
      </c>
      <c r="C286">
        <v>156.69999999999999</v>
      </c>
      <c r="D286" t="s">
        <v>39</v>
      </c>
      <c r="E286" s="10">
        <v>243.98163273247999</v>
      </c>
      <c r="F286" t="s">
        <v>30</v>
      </c>
      <c r="G286" s="14">
        <v>46054</v>
      </c>
      <c r="H286">
        <v>3752</v>
      </c>
      <c r="I286">
        <v>587938.39999999991</v>
      </c>
      <c r="J286">
        <v>30666.576126570599</v>
      </c>
      <c r="K286" t="s">
        <v>426</v>
      </c>
      <c r="L286" s="9" t="s">
        <v>427</v>
      </c>
      <c r="M286" t="s">
        <v>33</v>
      </c>
      <c r="N286" s="12">
        <v>14.480084137919988</v>
      </c>
      <c r="O286" s="13">
        <v>5.9349074664964856E-2</v>
      </c>
      <c r="P286" s="9" t="s">
        <v>449</v>
      </c>
      <c r="Q286">
        <v>166</v>
      </c>
      <c r="R286">
        <v>166</v>
      </c>
      <c r="S286" t="s">
        <v>39</v>
      </c>
      <c r="T286">
        <v>258.46171687039998</v>
      </c>
      <c r="U286">
        <v>810578</v>
      </c>
      <c r="V286">
        <v>1262068.5634781632</v>
      </c>
      <c r="W286" t="s">
        <v>30</v>
      </c>
      <c r="X286" t="s">
        <v>428</v>
      </c>
      <c r="Y286" t="s">
        <v>450</v>
      </c>
      <c r="Z286" t="b">
        <v>0</v>
      </c>
      <c r="AA286" t="s">
        <v>44</v>
      </c>
      <c r="AB286" t="s">
        <v>45</v>
      </c>
      <c r="AC286" t="s">
        <v>187</v>
      </c>
    </row>
    <row r="287" spans="2:29" x14ac:dyDescent="0.35">
      <c r="B287" t="s">
        <v>451</v>
      </c>
      <c r="C287">
        <v>910.43</v>
      </c>
      <c r="D287" t="s">
        <v>39</v>
      </c>
      <c r="E287" s="10">
        <v>1417.5379571705919</v>
      </c>
      <c r="F287" t="s">
        <v>30</v>
      </c>
      <c r="G287" s="14">
        <v>46054</v>
      </c>
      <c r="H287">
        <v>4632</v>
      </c>
      <c r="I287">
        <v>4217111.76</v>
      </c>
      <c r="J287">
        <v>12992.400293590101</v>
      </c>
      <c r="K287" t="s">
        <v>426</v>
      </c>
      <c r="L287" s="9" t="s">
        <v>427</v>
      </c>
      <c r="M287" t="s">
        <v>33</v>
      </c>
      <c r="N287" s="12">
        <v>1007.9851258116158</v>
      </c>
      <c r="O287" s="13">
        <v>0.71108157683731854</v>
      </c>
      <c r="P287" s="9" t="s">
        <v>451</v>
      </c>
      <c r="Q287">
        <v>263.04000000000002</v>
      </c>
      <c r="R287">
        <v>263.04000000000002</v>
      </c>
      <c r="S287" t="s">
        <v>39</v>
      </c>
      <c r="T287">
        <v>409.55283135897605</v>
      </c>
      <c r="U287">
        <v>833310.72000000009</v>
      </c>
      <c r="V287">
        <v>1297463.3697452361</v>
      </c>
      <c r="W287" t="s">
        <v>30</v>
      </c>
      <c r="X287" t="s">
        <v>428</v>
      </c>
      <c r="Y287" t="s">
        <v>452</v>
      </c>
      <c r="Z287" t="b">
        <v>0</v>
      </c>
      <c r="AA287" t="s">
        <v>44</v>
      </c>
      <c r="AB287" t="s">
        <v>45</v>
      </c>
      <c r="AC287" t="s">
        <v>187</v>
      </c>
    </row>
    <row r="288" spans="2:29" x14ac:dyDescent="0.35">
      <c r="B288" t="s">
        <v>451</v>
      </c>
      <c r="C288">
        <v>313.89</v>
      </c>
      <c r="D288" t="s">
        <v>39</v>
      </c>
      <c r="E288" s="10">
        <v>488.72619462921597</v>
      </c>
      <c r="F288" t="s">
        <v>30</v>
      </c>
      <c r="G288" s="14">
        <v>46054</v>
      </c>
      <c r="H288">
        <v>16662</v>
      </c>
      <c r="I288">
        <v>5230035.18</v>
      </c>
      <c r="J288">
        <v>12992.400293590101</v>
      </c>
      <c r="K288" t="s">
        <v>426</v>
      </c>
      <c r="L288" s="9" t="s">
        <v>427</v>
      </c>
      <c r="M288" t="s">
        <v>33</v>
      </c>
      <c r="N288" s="12">
        <v>416.74616347910393</v>
      </c>
      <c r="O288" s="13">
        <v>0.85271910541909579</v>
      </c>
      <c r="P288" s="9" t="s">
        <v>451</v>
      </c>
      <c r="Q288">
        <v>581.54999999999995</v>
      </c>
      <c r="R288">
        <v>581.54999999999995</v>
      </c>
      <c r="S288" t="s">
        <v>39</v>
      </c>
      <c r="T288">
        <v>905.4723581083199</v>
      </c>
      <c r="U288">
        <v>8862240.4499999993</v>
      </c>
      <c r="V288">
        <v>13798493.265212687</v>
      </c>
      <c r="W288" t="s">
        <v>30</v>
      </c>
      <c r="X288" t="s">
        <v>428</v>
      </c>
      <c r="Y288" t="s">
        <v>452</v>
      </c>
      <c r="Z288" t="b">
        <v>0</v>
      </c>
      <c r="AA288" t="s">
        <v>44</v>
      </c>
      <c r="AB288" t="s">
        <v>45</v>
      </c>
      <c r="AC288" t="s">
        <v>187</v>
      </c>
    </row>
    <row r="289" spans="2:29" x14ac:dyDescent="0.35">
      <c r="B289" t="s">
        <v>451</v>
      </c>
      <c r="C289">
        <v>257.52</v>
      </c>
      <c r="D289" t="s">
        <v>39</v>
      </c>
      <c r="E289" s="10">
        <v>400.958200773888</v>
      </c>
      <c r="F289" t="s">
        <v>30</v>
      </c>
      <c r="G289" s="14">
        <v>46054</v>
      </c>
      <c r="H289">
        <v>3882</v>
      </c>
      <c r="I289">
        <v>999692.6399999999</v>
      </c>
      <c r="J289">
        <v>6496.2001467950504</v>
      </c>
      <c r="K289" t="s">
        <v>426</v>
      </c>
      <c r="L289" s="9" t="s">
        <v>427</v>
      </c>
      <c r="M289" t="s">
        <v>33</v>
      </c>
      <c r="N289" s="12">
        <v>213.44889617929599</v>
      </c>
      <c r="O289" s="13">
        <v>0.5323470021745883</v>
      </c>
      <c r="P289" s="9" t="s">
        <v>451</v>
      </c>
      <c r="Q289">
        <v>120.43</v>
      </c>
      <c r="R289">
        <v>120.43</v>
      </c>
      <c r="S289" t="s">
        <v>39</v>
      </c>
      <c r="T289">
        <v>187.50930459459201</v>
      </c>
      <c r="U289">
        <v>1310398.83</v>
      </c>
      <c r="V289">
        <v>2040288.7432937557</v>
      </c>
      <c r="W289" t="s">
        <v>30</v>
      </c>
      <c r="X289" t="s">
        <v>428</v>
      </c>
      <c r="Y289" t="s">
        <v>452</v>
      </c>
      <c r="Z289" t="b">
        <v>0</v>
      </c>
      <c r="AA289" t="s">
        <v>44</v>
      </c>
      <c r="AB289" t="s">
        <v>45</v>
      </c>
      <c r="AC289" t="s">
        <v>187</v>
      </c>
    </row>
    <row r="290" spans="2:29" x14ac:dyDescent="0.35">
      <c r="B290" t="s">
        <v>451</v>
      </c>
      <c r="C290">
        <v>169.3</v>
      </c>
      <c r="D290" t="s">
        <v>39</v>
      </c>
      <c r="E290" s="10">
        <v>263.59981124192001</v>
      </c>
      <c r="F290" t="s">
        <v>30</v>
      </c>
      <c r="G290" s="14">
        <v>46054</v>
      </c>
      <c r="H290">
        <v>19504</v>
      </c>
      <c r="I290">
        <v>3302027.2</v>
      </c>
      <c r="J290">
        <v>12992.400293590101</v>
      </c>
      <c r="K290" t="s">
        <v>426</v>
      </c>
      <c r="L290" s="9" t="s">
        <v>427</v>
      </c>
      <c r="M290" t="s">
        <v>33</v>
      </c>
      <c r="N290" s="12">
        <v>11.677487208000002</v>
      </c>
      <c r="O290" s="13">
        <v>4.4300059066745431E-2</v>
      </c>
      <c r="P290" s="9" t="s">
        <v>451</v>
      </c>
      <c r="Q290">
        <v>176.8</v>
      </c>
      <c r="R290">
        <v>176.8</v>
      </c>
      <c r="S290" t="s">
        <v>39</v>
      </c>
      <c r="T290">
        <v>275.27729844992001</v>
      </c>
      <c r="U290">
        <v>729653.60000000009</v>
      </c>
      <c r="V290">
        <v>1136069.4107028199</v>
      </c>
      <c r="W290" t="s">
        <v>30</v>
      </c>
      <c r="X290" t="s">
        <v>428</v>
      </c>
      <c r="Y290" t="s">
        <v>452</v>
      </c>
      <c r="Z290" t="b">
        <v>0</v>
      </c>
      <c r="AA290" t="s">
        <v>44</v>
      </c>
      <c r="AB290" t="s">
        <v>45</v>
      </c>
      <c r="AC290" t="s">
        <v>187</v>
      </c>
    </row>
    <row r="291" spans="2:29" x14ac:dyDescent="0.35">
      <c r="B291" t="s">
        <v>451</v>
      </c>
      <c r="C291">
        <v>236.4</v>
      </c>
      <c r="D291" t="s">
        <v>39</v>
      </c>
      <c r="E291" s="10">
        <v>368.07439679616004</v>
      </c>
      <c r="F291" t="s">
        <v>30</v>
      </c>
      <c r="G291" s="14">
        <v>46054</v>
      </c>
      <c r="H291">
        <v>12923</v>
      </c>
      <c r="I291">
        <v>3054997.2</v>
      </c>
      <c r="J291">
        <v>2674.8950438099</v>
      </c>
      <c r="K291" t="s">
        <v>426</v>
      </c>
      <c r="L291" s="9" t="s">
        <v>427</v>
      </c>
      <c r="M291" t="s">
        <v>33</v>
      </c>
      <c r="N291" s="12">
        <v>1048.217961738912</v>
      </c>
      <c r="O291" s="13">
        <v>2.847842639593908</v>
      </c>
      <c r="P291" s="9" t="s">
        <v>451</v>
      </c>
      <c r="Q291">
        <v>909.63</v>
      </c>
      <c r="R291">
        <v>909.63</v>
      </c>
      <c r="S291" t="s">
        <v>39</v>
      </c>
      <c r="T291">
        <v>1416.292358535072</v>
      </c>
      <c r="U291">
        <v>8499582.7200000007</v>
      </c>
      <c r="V291">
        <v>13233835.798151713</v>
      </c>
      <c r="W291" t="s">
        <v>30</v>
      </c>
      <c r="X291" t="s">
        <v>428</v>
      </c>
      <c r="Y291" t="s">
        <v>452</v>
      </c>
      <c r="Z291" t="b">
        <v>0</v>
      </c>
      <c r="AA291" t="s">
        <v>44</v>
      </c>
      <c r="AB291" t="s">
        <v>45</v>
      </c>
      <c r="AC291" t="s">
        <v>187</v>
      </c>
    </row>
    <row r="292" spans="2:29" x14ac:dyDescent="0.35">
      <c r="B292" t="s">
        <v>451</v>
      </c>
      <c r="C292">
        <v>366.74</v>
      </c>
      <c r="D292" t="s">
        <v>39</v>
      </c>
      <c r="E292" s="10">
        <v>571.01355448825598</v>
      </c>
      <c r="F292" t="s">
        <v>30</v>
      </c>
      <c r="G292" s="14">
        <v>46054</v>
      </c>
      <c r="H292">
        <v>4214</v>
      </c>
      <c r="I292">
        <v>1545442.36</v>
      </c>
      <c r="J292">
        <v>10317.578428700001</v>
      </c>
      <c r="K292" t="s">
        <v>426</v>
      </c>
      <c r="L292" s="9" t="s">
        <v>427</v>
      </c>
      <c r="M292" t="s">
        <v>33</v>
      </c>
      <c r="N292" s="12">
        <v>140.53466605254391</v>
      </c>
      <c r="O292" s="13">
        <v>0.24611441348094004</v>
      </c>
      <c r="P292" s="9" t="s">
        <v>451</v>
      </c>
      <c r="Q292">
        <v>276.48</v>
      </c>
      <c r="R292">
        <v>276.48</v>
      </c>
      <c r="S292" t="s">
        <v>39</v>
      </c>
      <c r="T292">
        <v>430.47888843571207</v>
      </c>
      <c r="U292">
        <v>778014.72000000009</v>
      </c>
      <c r="V292">
        <v>1211367.5920580938</v>
      </c>
      <c r="W292" t="s">
        <v>30</v>
      </c>
      <c r="X292" t="s">
        <v>428</v>
      </c>
      <c r="Y292" t="s">
        <v>452</v>
      </c>
      <c r="Z292" t="b">
        <v>0</v>
      </c>
      <c r="AA292" t="s">
        <v>44</v>
      </c>
      <c r="AB292" t="s">
        <v>45</v>
      </c>
      <c r="AC292" t="s">
        <v>187</v>
      </c>
    </row>
    <row r="293" spans="2:29" x14ac:dyDescent="0.35">
      <c r="B293" t="s">
        <v>451</v>
      </c>
      <c r="C293">
        <v>710.07</v>
      </c>
      <c r="D293" t="s">
        <v>39</v>
      </c>
      <c r="E293" s="10">
        <v>1105.5777789046081</v>
      </c>
      <c r="F293" t="s">
        <v>30</v>
      </c>
      <c r="G293" s="14">
        <v>46054</v>
      </c>
      <c r="H293">
        <v>10118</v>
      </c>
      <c r="I293">
        <v>7184488.2600000007</v>
      </c>
      <c r="J293">
        <v>19488.600440385198</v>
      </c>
      <c r="K293" t="s">
        <v>426</v>
      </c>
      <c r="L293" s="9" t="s">
        <v>427</v>
      </c>
      <c r="M293" t="s">
        <v>33</v>
      </c>
      <c r="N293" s="12">
        <v>229.26799885039998</v>
      </c>
      <c r="O293" s="13">
        <v>0.20737392088103987</v>
      </c>
      <c r="P293" s="9" t="s">
        <v>451</v>
      </c>
      <c r="Q293">
        <v>562.82000000000005</v>
      </c>
      <c r="R293">
        <v>562.82000000000005</v>
      </c>
      <c r="S293" t="s">
        <v>39</v>
      </c>
      <c r="T293">
        <v>876.30978005420809</v>
      </c>
      <c r="U293">
        <v>8651106.2200000007</v>
      </c>
      <c r="V293">
        <v>13469757.629213233</v>
      </c>
      <c r="W293" t="s">
        <v>30</v>
      </c>
      <c r="X293" t="s">
        <v>428</v>
      </c>
      <c r="Y293" t="s">
        <v>452</v>
      </c>
      <c r="Z293" t="b">
        <v>0</v>
      </c>
      <c r="AA293" t="s">
        <v>44</v>
      </c>
      <c r="AB293" t="s">
        <v>45</v>
      </c>
      <c r="AC293" t="s">
        <v>187</v>
      </c>
    </row>
    <row r="294" spans="2:29" x14ac:dyDescent="0.35">
      <c r="B294" t="s">
        <v>453</v>
      </c>
      <c r="C294">
        <v>951.9</v>
      </c>
      <c r="D294" t="s">
        <v>39</v>
      </c>
      <c r="E294" s="10">
        <v>1482.1066764393599</v>
      </c>
      <c r="F294" t="s">
        <v>30</v>
      </c>
      <c r="G294" s="14">
        <v>46054</v>
      </c>
      <c r="H294">
        <v>9791</v>
      </c>
      <c r="I294">
        <v>9320052.9000000004</v>
      </c>
      <c r="J294">
        <v>4607.4693527884801</v>
      </c>
      <c r="K294" t="s">
        <v>454</v>
      </c>
      <c r="L294" s="9" t="s">
        <v>455</v>
      </c>
      <c r="M294" t="s">
        <v>50</v>
      </c>
      <c r="N294" s="12">
        <v>37.77277862214396</v>
      </c>
      <c r="O294" s="13">
        <v>2.5485870364534063E-2</v>
      </c>
      <c r="P294" s="9" t="s">
        <v>453</v>
      </c>
      <c r="Q294">
        <v>927.64</v>
      </c>
      <c r="R294">
        <v>9.2764000000000006</v>
      </c>
      <c r="S294" t="s">
        <v>39</v>
      </c>
      <c r="T294">
        <v>1444.333897817216</v>
      </c>
      <c r="U294">
        <v>13550965.119999999</v>
      </c>
      <c r="V294">
        <v>21098829.579313893</v>
      </c>
      <c r="W294" t="s">
        <v>249</v>
      </c>
      <c r="X294" t="s">
        <v>317</v>
      </c>
      <c r="Y294" t="s">
        <v>456</v>
      </c>
      <c r="Z294" t="b">
        <v>0</v>
      </c>
      <c r="AA294" t="s">
        <v>44</v>
      </c>
      <c r="AB294" t="s">
        <v>45</v>
      </c>
      <c r="AC294" t="s">
        <v>251</v>
      </c>
    </row>
    <row r="295" spans="2:29" x14ac:dyDescent="0.35">
      <c r="B295" t="s">
        <v>453</v>
      </c>
      <c r="C295">
        <v>23.47</v>
      </c>
      <c r="D295" t="s">
        <v>39</v>
      </c>
      <c r="E295" s="10">
        <v>36.542749969568</v>
      </c>
      <c r="F295" t="s">
        <v>30</v>
      </c>
      <c r="G295" s="14">
        <v>46054</v>
      </c>
      <c r="H295">
        <v>12761</v>
      </c>
      <c r="I295">
        <v>299500.67</v>
      </c>
      <c r="J295">
        <v>5221.7985998269396</v>
      </c>
      <c r="K295" t="s">
        <v>454</v>
      </c>
      <c r="L295" s="9" t="s">
        <v>455</v>
      </c>
      <c r="M295" t="s">
        <v>50</v>
      </c>
      <c r="N295" s="12">
        <v>0.71621921542399747</v>
      </c>
      <c r="O295" s="13">
        <v>1.9599488708990132E-2</v>
      </c>
      <c r="P295" s="9" t="s">
        <v>453</v>
      </c>
      <c r="Q295">
        <v>23.01</v>
      </c>
      <c r="R295">
        <v>0.23010000000000003</v>
      </c>
      <c r="S295" t="s">
        <v>39</v>
      </c>
      <c r="T295">
        <v>35.826530754144002</v>
      </c>
      <c r="U295">
        <v>90567.360000000001</v>
      </c>
      <c r="V295">
        <v>141013.22504831079</v>
      </c>
      <c r="W295" t="s">
        <v>249</v>
      </c>
      <c r="X295" t="s">
        <v>317</v>
      </c>
      <c r="Y295" t="s">
        <v>456</v>
      </c>
      <c r="Z295" t="b">
        <v>0</v>
      </c>
      <c r="AA295" t="s">
        <v>44</v>
      </c>
      <c r="AB295" t="s">
        <v>45</v>
      </c>
      <c r="AC295" t="s">
        <v>251</v>
      </c>
    </row>
    <row r="296" spans="2:29" x14ac:dyDescent="0.35">
      <c r="B296" t="s">
        <v>457</v>
      </c>
      <c r="C296">
        <v>531.88</v>
      </c>
      <c r="D296" t="s">
        <v>39</v>
      </c>
      <c r="E296" s="10">
        <v>828.13625282547196</v>
      </c>
      <c r="F296" t="s">
        <v>30</v>
      </c>
      <c r="G296" s="14">
        <v>46054</v>
      </c>
      <c r="H296">
        <v>13556</v>
      </c>
      <c r="I296">
        <v>7210165.2800000003</v>
      </c>
      <c r="J296">
        <v>12473.502586012</v>
      </c>
      <c r="K296" t="s">
        <v>454</v>
      </c>
      <c r="L296" s="9" t="s">
        <v>455</v>
      </c>
      <c r="M296" t="s">
        <v>50</v>
      </c>
      <c r="N296" s="12">
        <v>297.71364387222411</v>
      </c>
      <c r="O296" s="13">
        <v>0.35949838309393112</v>
      </c>
      <c r="P296" s="9" t="s">
        <v>457</v>
      </c>
      <c r="Q296">
        <v>723.09</v>
      </c>
      <c r="R296">
        <v>7.2309000000000001</v>
      </c>
      <c r="S296" t="s">
        <v>39</v>
      </c>
      <c r="T296">
        <v>1125.8498966976961</v>
      </c>
      <c r="U296">
        <v>12290360.73</v>
      </c>
      <c r="V296">
        <v>19136070.69417074</v>
      </c>
      <c r="W296" t="s">
        <v>249</v>
      </c>
      <c r="X296" t="s">
        <v>317</v>
      </c>
      <c r="Y296" t="s">
        <v>458</v>
      </c>
      <c r="Z296" t="b">
        <v>0</v>
      </c>
      <c r="AA296" t="s">
        <v>44</v>
      </c>
      <c r="AB296" t="s">
        <v>45</v>
      </c>
      <c r="AC296" t="s">
        <v>251</v>
      </c>
    </row>
    <row r="297" spans="2:29" x14ac:dyDescent="0.35">
      <c r="B297" t="s">
        <v>459</v>
      </c>
      <c r="C297">
        <v>177.35</v>
      </c>
      <c r="D297" t="s">
        <v>39</v>
      </c>
      <c r="E297" s="10">
        <v>276.13364751184002</v>
      </c>
      <c r="F297" t="s">
        <v>30</v>
      </c>
      <c r="G297" s="14">
        <v>46054</v>
      </c>
      <c r="H297">
        <v>6976</v>
      </c>
      <c r="I297">
        <v>1237193.5999999999</v>
      </c>
      <c r="J297">
        <v>8540.9141439312007</v>
      </c>
      <c r="K297" t="s">
        <v>454</v>
      </c>
      <c r="L297" s="9" t="s">
        <v>455</v>
      </c>
      <c r="M297" t="s">
        <v>50</v>
      </c>
      <c r="N297" s="12">
        <v>912.82139005788804</v>
      </c>
      <c r="O297" s="13">
        <v>3.3057231463208345</v>
      </c>
      <c r="P297" s="9" t="s">
        <v>459</v>
      </c>
      <c r="Q297">
        <v>763.62</v>
      </c>
      <c r="R297">
        <v>7.6361999999999997</v>
      </c>
      <c r="S297" t="s">
        <v>39</v>
      </c>
      <c r="T297">
        <v>1188.9550375697281</v>
      </c>
      <c r="U297">
        <v>4745898.3</v>
      </c>
      <c r="V297">
        <v>7389355.5584958605</v>
      </c>
      <c r="W297" t="s">
        <v>249</v>
      </c>
      <c r="X297" t="s">
        <v>317</v>
      </c>
      <c r="Y297" t="s">
        <v>460</v>
      </c>
      <c r="Z297" t="b">
        <v>0</v>
      </c>
      <c r="AA297" t="s">
        <v>44</v>
      </c>
      <c r="AB297" t="s">
        <v>45</v>
      </c>
      <c r="AC297" t="s">
        <v>251</v>
      </c>
    </row>
    <row r="298" spans="2:29" x14ac:dyDescent="0.35">
      <c r="B298" t="s">
        <v>461</v>
      </c>
      <c r="C298">
        <v>572.4</v>
      </c>
      <c r="D298" t="s">
        <v>39</v>
      </c>
      <c r="E298" s="10">
        <v>891.22582371455997</v>
      </c>
      <c r="F298" t="s">
        <v>30</v>
      </c>
      <c r="G298" s="14">
        <v>46054</v>
      </c>
      <c r="H298">
        <v>8134</v>
      </c>
      <c r="I298">
        <v>4655901.5999999996</v>
      </c>
      <c r="J298">
        <v>10301.879214897601</v>
      </c>
      <c r="K298" t="s">
        <v>454</v>
      </c>
      <c r="L298" s="9" t="s">
        <v>455</v>
      </c>
      <c r="M298" t="s">
        <v>50</v>
      </c>
      <c r="N298" s="12">
        <v>185.45406684598402</v>
      </c>
      <c r="O298" s="13">
        <v>0.20808874912648501</v>
      </c>
      <c r="P298" s="9" t="s">
        <v>461</v>
      </c>
      <c r="Q298">
        <v>691.51</v>
      </c>
      <c r="R298">
        <v>6.9150999999999998</v>
      </c>
      <c r="S298" t="s">
        <v>39</v>
      </c>
      <c r="T298">
        <v>1076.679890560544</v>
      </c>
      <c r="U298">
        <v>8417751.2300000004</v>
      </c>
      <c r="V298">
        <v>13106424.307793502</v>
      </c>
      <c r="W298" t="s">
        <v>249</v>
      </c>
      <c r="X298" t="s">
        <v>317</v>
      </c>
      <c r="Y298" t="s">
        <v>462</v>
      </c>
      <c r="Z298" t="b">
        <v>0</v>
      </c>
      <c r="AA298" t="s">
        <v>44</v>
      </c>
      <c r="AB298" t="s">
        <v>45</v>
      </c>
      <c r="AC298" t="s">
        <v>251</v>
      </c>
    </row>
    <row r="299" spans="2:29" x14ac:dyDescent="0.35">
      <c r="B299" t="s">
        <v>463</v>
      </c>
      <c r="C299">
        <v>657.07</v>
      </c>
      <c r="D299" t="s">
        <v>39</v>
      </c>
      <c r="E299" s="10">
        <v>1023.0568693014081</v>
      </c>
      <c r="F299" t="s">
        <v>30</v>
      </c>
      <c r="G299" s="14">
        <v>46054</v>
      </c>
      <c r="H299">
        <v>18513</v>
      </c>
      <c r="I299">
        <v>12164336.91</v>
      </c>
      <c r="J299">
        <v>7328.7909717408002</v>
      </c>
      <c r="K299" t="s">
        <v>454</v>
      </c>
      <c r="L299" s="9" t="s">
        <v>455</v>
      </c>
      <c r="M299" t="s">
        <v>50</v>
      </c>
      <c r="N299" s="12">
        <v>887.75371751804812</v>
      </c>
      <c r="O299" s="13">
        <v>0.86774620664464974</v>
      </c>
      <c r="P299" s="9" t="s">
        <v>463</v>
      </c>
      <c r="Q299">
        <v>86.9</v>
      </c>
      <c r="R299">
        <v>86.9</v>
      </c>
      <c r="S299" t="s">
        <v>39</v>
      </c>
      <c r="T299">
        <v>135.30315178336002</v>
      </c>
      <c r="U299">
        <v>556420.70000000007</v>
      </c>
      <c r="V299">
        <v>866346.08086885419</v>
      </c>
      <c r="W299" t="s">
        <v>30</v>
      </c>
      <c r="X299" t="s">
        <v>317</v>
      </c>
      <c r="Y299" t="s">
        <v>464</v>
      </c>
      <c r="Z299" t="b">
        <v>0</v>
      </c>
      <c r="AA299" t="s">
        <v>44</v>
      </c>
      <c r="AB299" t="s">
        <v>45</v>
      </c>
      <c r="AC299" t="s">
        <v>251</v>
      </c>
    </row>
    <row r="300" spans="2:29" x14ac:dyDescent="0.35">
      <c r="B300" t="s">
        <v>465</v>
      </c>
      <c r="C300">
        <v>169.02</v>
      </c>
      <c r="D300" t="s">
        <v>39</v>
      </c>
      <c r="E300" s="10">
        <v>263.16385171948804</v>
      </c>
      <c r="F300" t="s">
        <v>30</v>
      </c>
      <c r="G300" s="14">
        <v>46054</v>
      </c>
      <c r="H300">
        <v>3865</v>
      </c>
      <c r="I300">
        <v>653262.30000000005</v>
      </c>
      <c r="J300">
        <v>16294.2985505549</v>
      </c>
      <c r="K300" t="s">
        <v>454</v>
      </c>
      <c r="L300" s="9" t="s">
        <v>455</v>
      </c>
      <c r="M300" t="s">
        <v>50</v>
      </c>
      <c r="N300" s="12">
        <v>1157.9552015282241</v>
      </c>
      <c r="O300" s="13">
        <v>4.4001301621109921</v>
      </c>
      <c r="P300" s="9" t="s">
        <v>465</v>
      </c>
      <c r="Q300">
        <v>912.73</v>
      </c>
      <c r="R300">
        <v>912.73</v>
      </c>
      <c r="S300" t="s">
        <v>39</v>
      </c>
      <c r="T300">
        <v>1421.1190532477121</v>
      </c>
      <c r="U300">
        <v>5392408.8399999999</v>
      </c>
      <c r="V300">
        <v>8395971.3665874843</v>
      </c>
      <c r="W300" t="s">
        <v>30</v>
      </c>
      <c r="X300" t="s">
        <v>317</v>
      </c>
      <c r="Y300" t="s">
        <v>466</v>
      </c>
      <c r="Z300" t="b">
        <v>0</v>
      </c>
      <c r="AA300" t="s">
        <v>44</v>
      </c>
      <c r="AB300" t="s">
        <v>45</v>
      </c>
      <c r="AC300" t="s">
        <v>251</v>
      </c>
    </row>
    <row r="301" spans="2:29" x14ac:dyDescent="0.35">
      <c r="B301" t="s">
        <v>467</v>
      </c>
      <c r="C301">
        <v>746.79</v>
      </c>
      <c r="D301" t="s">
        <v>71</v>
      </c>
      <c r="E301" s="10">
        <v>8311.2489944693552</v>
      </c>
      <c r="F301" t="s">
        <v>30</v>
      </c>
      <c r="G301" s="14">
        <v>46054</v>
      </c>
      <c r="H301">
        <v>1485</v>
      </c>
      <c r="I301">
        <v>1108983.1499999999</v>
      </c>
      <c r="J301">
        <v>272012.80387382</v>
      </c>
      <c r="K301" t="s">
        <v>468</v>
      </c>
      <c r="L301" s="9" t="s">
        <v>469</v>
      </c>
      <c r="M301" t="s">
        <v>42</v>
      </c>
      <c r="N301" s="12">
        <v>7674.8882215651311</v>
      </c>
      <c r="O301" s="13">
        <v>0.92343379757631072</v>
      </c>
      <c r="P301" s="9" t="s">
        <v>467</v>
      </c>
      <c r="Q301">
        <v>408.71</v>
      </c>
      <c r="R301">
        <v>408.71</v>
      </c>
      <c r="S301" t="s">
        <v>39</v>
      </c>
      <c r="T301">
        <v>636.36077290422395</v>
      </c>
      <c r="U301">
        <v>4737357.6099999994</v>
      </c>
      <c r="V301">
        <v>7376057.7187328599</v>
      </c>
      <c r="W301" t="s">
        <v>219</v>
      </c>
      <c r="X301" t="s">
        <v>470</v>
      </c>
      <c r="Y301" t="s">
        <v>255</v>
      </c>
      <c r="Z301" t="b">
        <v>0</v>
      </c>
      <c r="AB301" t="s">
        <v>36</v>
      </c>
      <c r="AC301" t="s">
        <v>306</v>
      </c>
    </row>
    <row r="302" spans="2:29" x14ac:dyDescent="0.35">
      <c r="B302" t="s">
        <v>471</v>
      </c>
      <c r="C302">
        <v>824.65</v>
      </c>
      <c r="D302" t="s">
        <v>39</v>
      </c>
      <c r="E302" s="10">
        <v>1283.9786434769601</v>
      </c>
      <c r="F302" t="s">
        <v>30</v>
      </c>
      <c r="G302" s="14">
        <v>46054</v>
      </c>
      <c r="H302">
        <v>2512</v>
      </c>
      <c r="I302">
        <v>2071520.8</v>
      </c>
      <c r="J302">
        <v>248.68376758156799</v>
      </c>
      <c r="K302" t="s">
        <v>297</v>
      </c>
      <c r="L302" s="9" t="s">
        <v>298</v>
      </c>
      <c r="M302" t="s">
        <v>50</v>
      </c>
      <c r="N302" s="12">
        <v>766.4791203672321</v>
      </c>
      <c r="O302" s="13">
        <v>0.59695628448432669</v>
      </c>
      <c r="P302" s="9" t="s">
        <v>471</v>
      </c>
      <c r="Q302">
        <v>332.37</v>
      </c>
      <c r="R302">
        <v>332.37</v>
      </c>
      <c r="S302" t="s">
        <v>39</v>
      </c>
      <c r="T302">
        <v>517.49952310972799</v>
      </c>
      <c r="U302">
        <v>5626026.9900000002</v>
      </c>
      <c r="V302">
        <v>8759714.4276783653</v>
      </c>
      <c r="W302" t="s">
        <v>30</v>
      </c>
      <c r="X302" t="s">
        <v>299</v>
      </c>
      <c r="Y302" t="s">
        <v>472</v>
      </c>
      <c r="Z302" t="b">
        <v>0</v>
      </c>
      <c r="AB302" t="s">
        <v>45</v>
      </c>
      <c r="AC302">
        <v>0</v>
      </c>
    </row>
    <row r="303" spans="2:29" x14ac:dyDescent="0.35">
      <c r="B303" t="s">
        <v>473</v>
      </c>
      <c r="C303">
        <v>754.01</v>
      </c>
      <c r="D303" t="s">
        <v>39</v>
      </c>
      <c r="E303" s="10">
        <v>1173.992283960544</v>
      </c>
      <c r="F303" t="s">
        <v>30</v>
      </c>
      <c r="G303" s="14">
        <v>46054</v>
      </c>
      <c r="H303">
        <v>2866</v>
      </c>
      <c r="I303">
        <v>2160992.66</v>
      </c>
      <c r="J303">
        <v>120.43381807183999</v>
      </c>
      <c r="K303" t="s">
        <v>474</v>
      </c>
      <c r="L303" s="9" t="s">
        <v>475</v>
      </c>
      <c r="M303" t="s">
        <v>50</v>
      </c>
      <c r="N303" s="12">
        <v>168.26480567580802</v>
      </c>
      <c r="O303" s="13">
        <v>0.1433270115780958</v>
      </c>
      <c r="P303" s="9" t="s">
        <v>473</v>
      </c>
      <c r="Q303">
        <v>862.08</v>
      </c>
      <c r="R303">
        <v>0.86208000000000007</v>
      </c>
      <c r="S303" t="s">
        <v>39</v>
      </c>
      <c r="T303">
        <v>1342.257089636352</v>
      </c>
      <c r="U303">
        <v>13012235.520000001</v>
      </c>
      <c r="V303">
        <v>20260028.510971099</v>
      </c>
      <c r="W303" t="s">
        <v>352</v>
      </c>
      <c r="X303" t="s">
        <v>476</v>
      </c>
      <c r="Y303" t="s">
        <v>477</v>
      </c>
      <c r="Z303" t="b">
        <v>0</v>
      </c>
      <c r="AA303" t="s">
        <v>44</v>
      </c>
      <c r="AB303" t="s">
        <v>45</v>
      </c>
      <c r="AC303" t="s">
        <v>434</v>
      </c>
    </row>
    <row r="304" spans="2:29" x14ac:dyDescent="0.35">
      <c r="B304" t="s">
        <v>478</v>
      </c>
      <c r="C304">
        <v>545.13</v>
      </c>
      <c r="D304" t="s">
        <v>39</v>
      </c>
      <c r="E304" s="10">
        <v>848.76648022627205</v>
      </c>
      <c r="F304" t="s">
        <v>30</v>
      </c>
      <c r="G304" s="14">
        <v>46054</v>
      </c>
      <c r="H304">
        <v>18530</v>
      </c>
      <c r="I304">
        <v>10101258.9</v>
      </c>
      <c r="J304">
        <v>2805.64553258043</v>
      </c>
      <c r="K304" t="s">
        <v>474</v>
      </c>
      <c r="L304" s="9" t="s">
        <v>475</v>
      </c>
      <c r="M304" t="s">
        <v>50</v>
      </c>
      <c r="N304" s="12">
        <v>573.34905192985593</v>
      </c>
      <c r="O304" s="13">
        <v>0.67550859428026333</v>
      </c>
      <c r="P304" s="9" t="s">
        <v>478</v>
      </c>
      <c r="Q304">
        <v>913.37</v>
      </c>
      <c r="R304">
        <v>0.91337000000000002</v>
      </c>
      <c r="S304" t="s">
        <v>39</v>
      </c>
      <c r="T304">
        <v>1422.115532156128</v>
      </c>
      <c r="U304">
        <v>2822313.3</v>
      </c>
      <c r="V304">
        <v>4394336.9943624353</v>
      </c>
      <c r="W304" t="s">
        <v>352</v>
      </c>
      <c r="X304" t="s">
        <v>476</v>
      </c>
      <c r="Y304" t="s">
        <v>479</v>
      </c>
      <c r="Z304" t="b">
        <v>0</v>
      </c>
      <c r="AA304" t="s">
        <v>44</v>
      </c>
      <c r="AB304" t="s">
        <v>45</v>
      </c>
      <c r="AC304" t="s">
        <v>434</v>
      </c>
    </row>
    <row r="305" spans="2:29" x14ac:dyDescent="0.35">
      <c r="B305" t="s">
        <v>480</v>
      </c>
      <c r="C305">
        <v>923.46</v>
      </c>
      <c r="D305" t="s">
        <v>71</v>
      </c>
      <c r="E305" s="10">
        <v>10277.462200126771</v>
      </c>
      <c r="F305" t="s">
        <v>30</v>
      </c>
      <c r="G305" s="14">
        <v>46054</v>
      </c>
      <c r="H305">
        <v>17031</v>
      </c>
      <c r="I305">
        <v>15727447.26</v>
      </c>
      <c r="J305">
        <v>2254.7959215837</v>
      </c>
      <c r="K305" t="s">
        <v>481</v>
      </c>
      <c r="L305" s="9" t="s">
        <v>482</v>
      </c>
      <c r="M305" t="s">
        <v>50</v>
      </c>
      <c r="N305" s="12">
        <v>10098.952345673812</v>
      </c>
      <c r="O305" s="13">
        <v>0.98263094030637665</v>
      </c>
      <c r="P305" s="9" t="s">
        <v>480</v>
      </c>
      <c r="Q305">
        <v>114.65</v>
      </c>
      <c r="R305">
        <v>114.65</v>
      </c>
      <c r="S305" t="s">
        <v>39</v>
      </c>
      <c r="T305">
        <v>178.50985445296001</v>
      </c>
      <c r="U305">
        <v>1587329.25</v>
      </c>
      <c r="V305">
        <v>2471468.9349012314</v>
      </c>
      <c r="W305" t="s">
        <v>30</v>
      </c>
      <c r="X305" t="s">
        <v>483</v>
      </c>
      <c r="Y305" t="s">
        <v>484</v>
      </c>
      <c r="Z305" t="b">
        <v>0</v>
      </c>
      <c r="AA305" t="s">
        <v>44</v>
      </c>
      <c r="AB305" t="s">
        <v>36</v>
      </c>
      <c r="AC305" t="s">
        <v>251</v>
      </c>
    </row>
    <row r="306" spans="2:29" x14ac:dyDescent="0.35">
      <c r="B306" t="s">
        <v>480</v>
      </c>
      <c r="C306">
        <v>154.26</v>
      </c>
      <c r="D306" t="s">
        <v>71</v>
      </c>
      <c r="E306" s="10">
        <v>1716.8056212413699</v>
      </c>
      <c r="F306" t="s">
        <v>30</v>
      </c>
      <c r="G306" s="14">
        <v>46054</v>
      </c>
      <c r="H306">
        <v>7727</v>
      </c>
      <c r="I306">
        <v>1191967.02</v>
      </c>
      <c r="J306">
        <v>2261.4735008184002</v>
      </c>
      <c r="K306" t="s">
        <v>481</v>
      </c>
      <c r="L306" s="9" t="s">
        <v>482</v>
      </c>
      <c r="M306" t="s">
        <v>50</v>
      </c>
      <c r="N306" s="12">
        <v>1567.2403650813058</v>
      </c>
      <c r="O306" s="13">
        <v>0.91288165980495917</v>
      </c>
      <c r="P306" s="9" t="s">
        <v>480</v>
      </c>
      <c r="Q306">
        <v>96.06</v>
      </c>
      <c r="R306">
        <v>96.06</v>
      </c>
      <c r="S306" t="s">
        <v>39</v>
      </c>
      <c r="T306">
        <v>149.565256160064</v>
      </c>
      <c r="U306">
        <v>1212277.2</v>
      </c>
      <c r="V306">
        <v>1887513.5327400076</v>
      </c>
      <c r="W306" t="s">
        <v>30</v>
      </c>
      <c r="X306" t="s">
        <v>483</v>
      </c>
      <c r="Y306" t="s">
        <v>484</v>
      </c>
      <c r="Z306" t="b">
        <v>0</v>
      </c>
      <c r="AA306" t="s">
        <v>44</v>
      </c>
      <c r="AB306" t="s">
        <v>36</v>
      </c>
      <c r="AC306" t="s">
        <v>251</v>
      </c>
    </row>
    <row r="307" spans="2:29" x14ac:dyDescent="0.35">
      <c r="B307" t="s">
        <v>485</v>
      </c>
      <c r="C307">
        <v>495.81</v>
      </c>
      <c r="D307" t="s">
        <v>71</v>
      </c>
      <c r="E307" s="10">
        <v>5518.0176005943449</v>
      </c>
      <c r="F307" t="s">
        <v>30</v>
      </c>
      <c r="G307" s="14">
        <v>46054</v>
      </c>
      <c r="H307">
        <v>14333</v>
      </c>
      <c r="I307">
        <v>7106444.7300000004</v>
      </c>
      <c r="J307">
        <v>16699.512736112301</v>
      </c>
      <c r="K307" t="s">
        <v>481</v>
      </c>
      <c r="L307" s="9" t="s">
        <v>482</v>
      </c>
      <c r="M307" t="s">
        <v>50</v>
      </c>
      <c r="N307" s="12">
        <v>4931.1382334861528</v>
      </c>
      <c r="O307" s="13">
        <v>0.89364307807844268</v>
      </c>
      <c r="P307" s="9" t="s">
        <v>485</v>
      </c>
      <c r="Q307">
        <v>376.93</v>
      </c>
      <c r="R307">
        <v>376.93</v>
      </c>
      <c r="S307" t="s">
        <v>39</v>
      </c>
      <c r="T307">
        <v>586.87936710819201</v>
      </c>
      <c r="U307">
        <v>1588006.09</v>
      </c>
      <c r="V307">
        <v>2472522.7736268127</v>
      </c>
      <c r="W307" t="s">
        <v>30</v>
      </c>
      <c r="X307" t="s">
        <v>483</v>
      </c>
      <c r="Y307" t="s">
        <v>486</v>
      </c>
      <c r="Z307" t="b">
        <v>0</v>
      </c>
      <c r="AA307" t="s">
        <v>44</v>
      </c>
      <c r="AB307" t="s">
        <v>36</v>
      </c>
      <c r="AC307" t="s">
        <v>288</v>
      </c>
    </row>
    <row r="308" spans="2:29" x14ac:dyDescent="0.35">
      <c r="B308" t="s">
        <v>485</v>
      </c>
      <c r="C308">
        <v>523.09</v>
      </c>
      <c r="D308" t="s">
        <v>71</v>
      </c>
      <c r="E308" s="10">
        <v>5821.6248697987057</v>
      </c>
      <c r="F308" t="s">
        <v>30</v>
      </c>
      <c r="G308" s="14">
        <v>46054</v>
      </c>
      <c r="H308">
        <v>7165</v>
      </c>
      <c r="I308">
        <v>3747939.85</v>
      </c>
      <c r="J308">
        <v>16750.707510244902</v>
      </c>
      <c r="K308" t="s">
        <v>481</v>
      </c>
      <c r="L308" s="9" t="s">
        <v>482</v>
      </c>
      <c r="M308" t="s">
        <v>50</v>
      </c>
      <c r="N308" s="12">
        <v>5665.1932511603381</v>
      </c>
      <c r="O308" s="13">
        <v>0.9731292169906206</v>
      </c>
      <c r="P308" s="9" t="s">
        <v>485</v>
      </c>
      <c r="Q308">
        <v>100.47</v>
      </c>
      <c r="R308">
        <v>100.47</v>
      </c>
      <c r="S308" t="s">
        <v>39</v>
      </c>
      <c r="T308">
        <v>156.43161863836801</v>
      </c>
      <c r="U308">
        <v>1901294.28</v>
      </c>
      <c r="V308">
        <v>2960311.9511124762</v>
      </c>
      <c r="W308" t="s">
        <v>30</v>
      </c>
      <c r="X308" t="s">
        <v>483</v>
      </c>
      <c r="Y308" t="s">
        <v>486</v>
      </c>
      <c r="Z308" t="b">
        <v>0</v>
      </c>
      <c r="AA308" t="s">
        <v>44</v>
      </c>
      <c r="AB308" t="s">
        <v>36</v>
      </c>
      <c r="AC308" t="s">
        <v>288</v>
      </c>
    </row>
    <row r="309" spans="2:29" x14ac:dyDescent="0.35">
      <c r="B309" t="s">
        <v>487</v>
      </c>
      <c r="C309">
        <v>26.99</v>
      </c>
      <c r="D309" t="s">
        <v>179</v>
      </c>
      <c r="E309" s="10">
        <v>26.99</v>
      </c>
      <c r="F309" t="s">
        <v>30</v>
      </c>
      <c r="G309" s="14">
        <v>46054</v>
      </c>
      <c r="H309">
        <v>3063</v>
      </c>
      <c r="I309">
        <v>82670.37</v>
      </c>
      <c r="J309">
        <v>82863</v>
      </c>
      <c r="K309" t="s">
        <v>488</v>
      </c>
      <c r="L309" s="9" t="s">
        <v>489</v>
      </c>
      <c r="M309" t="s">
        <v>42</v>
      </c>
      <c r="N309" s="12">
        <v>936.54282450649612</v>
      </c>
      <c r="O309" s="13">
        <v>34.699622990236982</v>
      </c>
      <c r="P309" s="9" t="s">
        <v>487</v>
      </c>
      <c r="Q309">
        <v>618.84</v>
      </c>
      <c r="R309">
        <v>618.84</v>
      </c>
      <c r="S309" t="s">
        <v>39</v>
      </c>
      <c r="T309">
        <v>963.53282450649613</v>
      </c>
      <c r="U309">
        <v>10553697.360000001</v>
      </c>
      <c r="V309">
        <v>16432088.789133785</v>
      </c>
      <c r="W309" t="s">
        <v>30</v>
      </c>
      <c r="X309" t="s">
        <v>490</v>
      </c>
      <c r="Y309" t="s">
        <v>491</v>
      </c>
      <c r="Z309" t="b">
        <v>0</v>
      </c>
      <c r="AA309" t="s">
        <v>44</v>
      </c>
      <c r="AB309" t="s">
        <v>36</v>
      </c>
      <c r="AC309" t="s">
        <v>204</v>
      </c>
    </row>
    <row r="310" spans="2:29" x14ac:dyDescent="0.35">
      <c r="B310" t="s">
        <v>492</v>
      </c>
      <c r="C310">
        <v>912.02</v>
      </c>
      <c r="D310" t="s">
        <v>179</v>
      </c>
      <c r="E310" s="10">
        <v>912.02</v>
      </c>
      <c r="F310" t="s">
        <v>30</v>
      </c>
      <c r="G310" s="14">
        <v>46054</v>
      </c>
      <c r="H310">
        <v>3099</v>
      </c>
      <c r="I310">
        <v>2826349.98</v>
      </c>
      <c r="J310">
        <v>23958.165000000001</v>
      </c>
      <c r="K310" t="s">
        <v>488</v>
      </c>
      <c r="L310" s="9" t="s">
        <v>489</v>
      </c>
      <c r="M310" t="s">
        <v>42</v>
      </c>
      <c r="N310" s="12">
        <v>391.01630260041611</v>
      </c>
      <c r="O310" s="13">
        <v>0.42873654371660286</v>
      </c>
      <c r="P310" s="9" t="s">
        <v>492</v>
      </c>
      <c r="Q310">
        <v>836.89</v>
      </c>
      <c r="R310">
        <v>836.89</v>
      </c>
      <c r="S310" t="s">
        <v>39</v>
      </c>
      <c r="T310">
        <v>1303.0363026004161</v>
      </c>
      <c r="U310">
        <v>7908610.5</v>
      </c>
      <c r="V310">
        <v>12313693.059573932</v>
      </c>
      <c r="W310" t="s">
        <v>30</v>
      </c>
      <c r="X310" t="s">
        <v>490</v>
      </c>
      <c r="Y310" t="s">
        <v>491</v>
      </c>
      <c r="Z310" t="b">
        <v>0</v>
      </c>
      <c r="AA310" t="s">
        <v>44</v>
      </c>
      <c r="AB310" t="s">
        <v>36</v>
      </c>
      <c r="AC310" t="s">
        <v>204</v>
      </c>
    </row>
    <row r="311" spans="2:29" x14ac:dyDescent="0.35">
      <c r="B311" t="s">
        <v>492</v>
      </c>
      <c r="C311">
        <v>847.6</v>
      </c>
      <c r="D311" t="s">
        <v>179</v>
      </c>
      <c r="E311" s="10">
        <v>847.6</v>
      </c>
      <c r="F311" t="s">
        <v>30</v>
      </c>
      <c r="G311" s="14">
        <v>46054</v>
      </c>
      <c r="H311">
        <v>1983</v>
      </c>
      <c r="I311">
        <v>1680790.8</v>
      </c>
      <c r="J311">
        <v>69696.479999999996</v>
      </c>
      <c r="K311" t="s">
        <v>488</v>
      </c>
      <c r="L311" s="9" t="s">
        <v>489</v>
      </c>
      <c r="M311" t="s">
        <v>42</v>
      </c>
      <c r="N311" s="12">
        <v>406.47124323059199</v>
      </c>
      <c r="O311" s="13">
        <v>0.47955550168781497</v>
      </c>
      <c r="P311" s="9" t="s">
        <v>492</v>
      </c>
      <c r="Q311">
        <v>283.32</v>
      </c>
      <c r="R311">
        <v>283.32</v>
      </c>
      <c r="S311" t="s">
        <v>39</v>
      </c>
      <c r="T311">
        <v>441.12875676940803</v>
      </c>
      <c r="U311">
        <v>4217784.84</v>
      </c>
      <c r="V311">
        <v>6567083.8020261778</v>
      </c>
      <c r="W311" t="s">
        <v>30</v>
      </c>
      <c r="X311" t="s">
        <v>490</v>
      </c>
      <c r="Y311" t="s">
        <v>491</v>
      </c>
      <c r="Z311" t="b">
        <v>0</v>
      </c>
      <c r="AA311" t="s">
        <v>44</v>
      </c>
      <c r="AB311" t="s">
        <v>36</v>
      </c>
      <c r="AC311" t="s">
        <v>204</v>
      </c>
    </row>
    <row r="312" spans="2:29" x14ac:dyDescent="0.35">
      <c r="B312" t="s">
        <v>493</v>
      </c>
      <c r="C312">
        <v>218.42</v>
      </c>
      <c r="D312" t="s">
        <v>179</v>
      </c>
      <c r="E312" s="10">
        <v>218.42</v>
      </c>
      <c r="F312" t="s">
        <v>30</v>
      </c>
      <c r="G312" s="14">
        <v>46054</v>
      </c>
      <c r="H312">
        <v>5015</v>
      </c>
      <c r="I312">
        <v>1095376.3</v>
      </c>
      <c r="J312">
        <v>64820</v>
      </c>
      <c r="K312" t="s">
        <v>488</v>
      </c>
      <c r="L312" s="9" t="s">
        <v>489</v>
      </c>
      <c r="M312" t="s">
        <v>42</v>
      </c>
      <c r="N312" s="12">
        <v>1049.085601522208</v>
      </c>
      <c r="O312" s="13">
        <v>4.8030656602976283</v>
      </c>
      <c r="P312" s="9" t="s">
        <v>493</v>
      </c>
      <c r="Q312">
        <v>814.07</v>
      </c>
      <c r="R312">
        <v>814.07</v>
      </c>
      <c r="S312" t="s">
        <v>39</v>
      </c>
      <c r="T312">
        <v>1267.5056015222081</v>
      </c>
      <c r="U312">
        <v>6256942.0200000005</v>
      </c>
      <c r="V312">
        <v>9742048.0532996915</v>
      </c>
      <c r="W312" t="s">
        <v>30</v>
      </c>
      <c r="X312" t="s">
        <v>490</v>
      </c>
      <c r="Y312" t="s">
        <v>494</v>
      </c>
      <c r="Z312" t="b">
        <v>0</v>
      </c>
      <c r="AA312" t="s">
        <v>44</v>
      </c>
      <c r="AB312" t="s">
        <v>36</v>
      </c>
      <c r="AC312" t="s">
        <v>46</v>
      </c>
    </row>
    <row r="313" spans="2:29" x14ac:dyDescent="0.35">
      <c r="B313" t="s">
        <v>495</v>
      </c>
      <c r="C313">
        <v>311.38</v>
      </c>
      <c r="D313" t="s">
        <v>179</v>
      </c>
      <c r="E313" s="10">
        <v>311.38</v>
      </c>
      <c r="F313" t="s">
        <v>30</v>
      </c>
      <c r="G313" s="14">
        <v>46054</v>
      </c>
      <c r="H313">
        <v>2448</v>
      </c>
      <c r="I313">
        <v>762258.24</v>
      </c>
      <c r="J313">
        <v>36720</v>
      </c>
      <c r="K313" t="s">
        <v>488</v>
      </c>
      <c r="L313" s="9" t="s">
        <v>489</v>
      </c>
      <c r="M313" t="s">
        <v>42</v>
      </c>
      <c r="N313" s="12">
        <v>813.42670784044788</v>
      </c>
      <c r="O313" s="13">
        <v>2.6123280488163911</v>
      </c>
      <c r="P313" s="9" t="s">
        <v>495</v>
      </c>
      <c r="Q313">
        <v>722.42</v>
      </c>
      <c r="R313">
        <v>722.42</v>
      </c>
      <c r="S313" t="s">
        <v>39</v>
      </c>
      <c r="T313">
        <v>1124.8067078404479</v>
      </c>
      <c r="U313">
        <v>2508242.2399999998</v>
      </c>
      <c r="V313">
        <v>3905328.889622035</v>
      </c>
      <c r="W313" t="s">
        <v>30</v>
      </c>
      <c r="X313" t="s">
        <v>490</v>
      </c>
      <c r="Y313" t="s">
        <v>496</v>
      </c>
      <c r="Z313" t="b">
        <v>0</v>
      </c>
      <c r="AA313" t="s">
        <v>44</v>
      </c>
      <c r="AB313" t="s">
        <v>36</v>
      </c>
      <c r="AC313" t="s">
        <v>175</v>
      </c>
    </row>
    <row r="314" spans="2:29" x14ac:dyDescent="0.35">
      <c r="B314" t="s">
        <v>497</v>
      </c>
      <c r="C314">
        <v>693.77</v>
      </c>
      <c r="D314" t="s">
        <v>179</v>
      </c>
      <c r="E314" s="10">
        <v>693.77</v>
      </c>
      <c r="F314" t="s">
        <v>30</v>
      </c>
      <c r="G314" s="14">
        <v>46054</v>
      </c>
      <c r="H314">
        <v>10966</v>
      </c>
      <c r="I314">
        <v>7607881.8199999994</v>
      </c>
      <c r="J314">
        <v>131181.4</v>
      </c>
      <c r="K314" t="s">
        <v>488</v>
      </c>
      <c r="L314" s="9" t="s">
        <v>489</v>
      </c>
      <c r="M314" t="s">
        <v>42</v>
      </c>
      <c r="N314" s="12">
        <v>808.68664414716818</v>
      </c>
      <c r="O314" s="13">
        <v>1.1656408379537428</v>
      </c>
      <c r="P314" s="9" t="s">
        <v>497</v>
      </c>
      <c r="Q314">
        <v>964.97</v>
      </c>
      <c r="R314">
        <v>964.97</v>
      </c>
      <c r="S314" t="s">
        <v>39</v>
      </c>
      <c r="T314">
        <v>1502.4566441471682</v>
      </c>
      <c r="U314">
        <v>1427190.6300000001</v>
      </c>
      <c r="V314">
        <v>2222133.3766936618</v>
      </c>
      <c r="W314" t="s">
        <v>30</v>
      </c>
      <c r="X314" t="s">
        <v>490</v>
      </c>
      <c r="Y314" t="s">
        <v>491</v>
      </c>
      <c r="Z314" t="b">
        <v>0</v>
      </c>
      <c r="AA314" t="s">
        <v>44</v>
      </c>
      <c r="AB314" t="s">
        <v>36</v>
      </c>
      <c r="AC314" t="s">
        <v>204</v>
      </c>
    </row>
    <row r="315" spans="2:29" x14ac:dyDescent="0.35">
      <c r="B315" t="s">
        <v>497</v>
      </c>
      <c r="C315">
        <v>587.47</v>
      </c>
      <c r="D315" t="s">
        <v>179</v>
      </c>
      <c r="E315" s="10">
        <v>587.47</v>
      </c>
      <c r="F315" t="s">
        <v>30</v>
      </c>
      <c r="G315" s="14">
        <v>46054</v>
      </c>
      <c r="H315">
        <v>19382</v>
      </c>
      <c r="I315">
        <v>11386343.540000001</v>
      </c>
      <c r="J315">
        <v>56220.6</v>
      </c>
      <c r="K315" t="s">
        <v>488</v>
      </c>
      <c r="L315" s="9" t="s">
        <v>489</v>
      </c>
      <c r="M315" t="s">
        <v>42</v>
      </c>
      <c r="N315" s="12">
        <v>344.81386873788801</v>
      </c>
      <c r="O315" s="13">
        <v>0.58694719515530669</v>
      </c>
      <c r="P315" s="9" t="s">
        <v>497</v>
      </c>
      <c r="Q315">
        <v>598.77</v>
      </c>
      <c r="R315">
        <v>598.77</v>
      </c>
      <c r="S315" t="s">
        <v>39</v>
      </c>
      <c r="T315">
        <v>932.28386873788804</v>
      </c>
      <c r="U315">
        <v>2628001.5299999998</v>
      </c>
      <c r="V315">
        <v>4091793.8998905905</v>
      </c>
      <c r="W315" t="s">
        <v>30</v>
      </c>
      <c r="X315" t="s">
        <v>490</v>
      </c>
      <c r="Y315" t="s">
        <v>491</v>
      </c>
      <c r="Z315" t="b">
        <v>0</v>
      </c>
      <c r="AA315" t="s">
        <v>44</v>
      </c>
      <c r="AB315" t="s">
        <v>36</v>
      </c>
      <c r="AC315" t="s">
        <v>204</v>
      </c>
    </row>
    <row r="316" spans="2:29" x14ac:dyDescent="0.35">
      <c r="B316" t="s">
        <v>497</v>
      </c>
      <c r="C316">
        <v>894.56</v>
      </c>
      <c r="D316" t="s">
        <v>179</v>
      </c>
      <c r="E316" s="10">
        <v>894.56</v>
      </c>
      <c r="F316" t="s">
        <v>30</v>
      </c>
      <c r="G316" s="14">
        <v>46054</v>
      </c>
      <c r="H316">
        <v>12887</v>
      </c>
      <c r="I316">
        <v>11528194.719999999</v>
      </c>
      <c r="J316">
        <v>10307.11</v>
      </c>
      <c r="K316" t="s">
        <v>488</v>
      </c>
      <c r="L316" s="9" t="s">
        <v>489</v>
      </c>
      <c r="M316" t="s">
        <v>42</v>
      </c>
      <c r="N316" s="12">
        <v>359.7266860027521</v>
      </c>
      <c r="O316" s="13">
        <v>0.40212695180060826</v>
      </c>
      <c r="P316" s="9" t="s">
        <v>497</v>
      </c>
      <c r="Q316">
        <v>805.58</v>
      </c>
      <c r="R316">
        <v>805.58</v>
      </c>
      <c r="S316" t="s">
        <v>39</v>
      </c>
      <c r="T316">
        <v>1254.286686002752</v>
      </c>
      <c r="U316">
        <v>3036231.02</v>
      </c>
      <c r="V316">
        <v>4727406.5195443723</v>
      </c>
      <c r="W316" t="s">
        <v>30</v>
      </c>
      <c r="X316" t="s">
        <v>490</v>
      </c>
      <c r="Y316" t="s">
        <v>491</v>
      </c>
      <c r="Z316" t="b">
        <v>0</v>
      </c>
      <c r="AA316" t="s">
        <v>44</v>
      </c>
      <c r="AB316" t="s">
        <v>36</v>
      </c>
      <c r="AC316" t="s">
        <v>204</v>
      </c>
    </row>
    <row r="317" spans="2:29" x14ac:dyDescent="0.35">
      <c r="B317" t="s">
        <v>498</v>
      </c>
      <c r="C317">
        <v>530.4</v>
      </c>
      <c r="D317" t="s">
        <v>179</v>
      </c>
      <c r="E317" s="10">
        <v>530.4</v>
      </c>
      <c r="F317" t="s">
        <v>30</v>
      </c>
      <c r="G317" s="14">
        <v>46054</v>
      </c>
      <c r="H317">
        <v>16731</v>
      </c>
      <c r="I317">
        <v>8874122.4000000004</v>
      </c>
      <c r="J317">
        <v>20504.439999999999</v>
      </c>
      <c r="K317" t="s">
        <v>488</v>
      </c>
      <c r="L317" s="9" t="s">
        <v>489</v>
      </c>
      <c r="M317" t="s">
        <v>42</v>
      </c>
      <c r="N317" s="12">
        <v>75.11663669216</v>
      </c>
      <c r="O317" s="13">
        <v>0.14162261819788841</v>
      </c>
      <c r="P317" s="9" t="s">
        <v>498</v>
      </c>
      <c r="Q317">
        <v>388.9</v>
      </c>
      <c r="R317">
        <v>388.9</v>
      </c>
      <c r="S317" t="s">
        <v>39</v>
      </c>
      <c r="T317">
        <v>605.51663669215998</v>
      </c>
      <c r="U317">
        <v>4207120.2</v>
      </c>
      <c r="V317">
        <v>6550478.9757357864</v>
      </c>
      <c r="W317" t="s">
        <v>30</v>
      </c>
      <c r="X317" t="s">
        <v>490</v>
      </c>
      <c r="Y317" t="s">
        <v>499</v>
      </c>
      <c r="Z317" t="b">
        <v>0</v>
      </c>
      <c r="AA317" t="s">
        <v>44</v>
      </c>
      <c r="AB317" t="s">
        <v>36</v>
      </c>
      <c r="AC317" t="s">
        <v>500</v>
      </c>
    </row>
    <row r="318" spans="2:29" x14ac:dyDescent="0.35">
      <c r="B318" t="s">
        <v>498</v>
      </c>
      <c r="C318">
        <v>841.45</v>
      </c>
      <c r="D318" t="s">
        <v>179</v>
      </c>
      <c r="E318" s="10">
        <v>841.45</v>
      </c>
      <c r="F318" t="s">
        <v>30</v>
      </c>
      <c r="G318" s="14">
        <v>46054</v>
      </c>
      <c r="H318">
        <v>17813</v>
      </c>
      <c r="I318">
        <v>14988748.850000001</v>
      </c>
      <c r="J318">
        <v>5126.1099999999997</v>
      </c>
      <c r="K318" t="s">
        <v>488</v>
      </c>
      <c r="L318" s="9" t="s">
        <v>489</v>
      </c>
      <c r="M318" t="s">
        <v>42</v>
      </c>
      <c r="N318" s="12">
        <v>736.71072473571201</v>
      </c>
      <c r="O318" s="13">
        <v>0.87552525371170242</v>
      </c>
      <c r="P318" s="9" t="s">
        <v>498</v>
      </c>
      <c r="Q318">
        <v>67.27</v>
      </c>
      <c r="R318">
        <v>67.27</v>
      </c>
      <c r="S318" t="s">
        <v>39</v>
      </c>
      <c r="T318">
        <v>104.739275264288</v>
      </c>
      <c r="U318">
        <v>646935.59</v>
      </c>
      <c r="V318">
        <v>1007277.6102166576</v>
      </c>
      <c r="W318" t="s">
        <v>30</v>
      </c>
      <c r="X318" t="s">
        <v>490</v>
      </c>
      <c r="Y318" t="s">
        <v>499</v>
      </c>
      <c r="Z318" t="b">
        <v>0</v>
      </c>
      <c r="AA318" t="s">
        <v>44</v>
      </c>
      <c r="AB318" t="s">
        <v>36</v>
      </c>
      <c r="AC318" t="s">
        <v>500</v>
      </c>
    </row>
    <row r="319" spans="2:29" x14ac:dyDescent="0.35">
      <c r="B319" t="s">
        <v>501</v>
      </c>
      <c r="C319">
        <v>916.96</v>
      </c>
      <c r="D319" t="s">
        <v>179</v>
      </c>
      <c r="E319" s="10">
        <v>916.96</v>
      </c>
      <c r="F319" t="s">
        <v>30</v>
      </c>
      <c r="G319" s="14">
        <v>46054</v>
      </c>
      <c r="H319">
        <v>9392</v>
      </c>
      <c r="I319">
        <v>8612088.3200000003</v>
      </c>
      <c r="J319">
        <v>25830</v>
      </c>
      <c r="K319" t="s">
        <v>488</v>
      </c>
      <c r="L319" s="9" t="s">
        <v>489</v>
      </c>
      <c r="M319" t="s">
        <v>42</v>
      </c>
      <c r="N319" s="12">
        <v>522.47891213081607</v>
      </c>
      <c r="O319" s="13">
        <v>0.56979466076035601</v>
      </c>
      <c r="P319" s="9" t="s">
        <v>501</v>
      </c>
      <c r="Q319">
        <v>253.36</v>
      </c>
      <c r="R319">
        <v>253.36</v>
      </c>
      <c r="S319" t="s">
        <v>39</v>
      </c>
      <c r="T319">
        <v>394.48108786918402</v>
      </c>
      <c r="U319">
        <v>4908850</v>
      </c>
      <c r="V319">
        <v>7643071.0774654401</v>
      </c>
      <c r="W319" t="s">
        <v>30</v>
      </c>
      <c r="X319" t="s">
        <v>490</v>
      </c>
      <c r="Y319" t="s">
        <v>491</v>
      </c>
      <c r="Z319" t="b">
        <v>0</v>
      </c>
      <c r="AA319" t="s">
        <v>44</v>
      </c>
      <c r="AB319" t="s">
        <v>36</v>
      </c>
      <c r="AC319" t="s">
        <v>204</v>
      </c>
    </row>
    <row r="320" spans="2:29" x14ac:dyDescent="0.35">
      <c r="B320" t="s">
        <v>502</v>
      </c>
      <c r="C320">
        <v>982.13</v>
      </c>
      <c r="D320" t="s">
        <v>179</v>
      </c>
      <c r="E320" s="10">
        <v>982.13</v>
      </c>
      <c r="F320" t="s">
        <v>30</v>
      </c>
      <c r="G320" s="14">
        <v>46054</v>
      </c>
      <c r="H320">
        <v>14473</v>
      </c>
      <c r="I320">
        <v>14214367.49</v>
      </c>
      <c r="J320">
        <v>83300.7</v>
      </c>
      <c r="K320" t="s">
        <v>488</v>
      </c>
      <c r="L320" s="9" t="s">
        <v>489</v>
      </c>
      <c r="M320" t="s">
        <v>42</v>
      </c>
      <c r="N320" s="12">
        <v>430.64354238972794</v>
      </c>
      <c r="O320" s="13">
        <v>0.43847916506952028</v>
      </c>
      <c r="P320" s="9" t="s">
        <v>502</v>
      </c>
      <c r="Q320">
        <v>907.37</v>
      </c>
      <c r="R320">
        <v>907.37</v>
      </c>
      <c r="S320" t="s">
        <v>39</v>
      </c>
      <c r="T320">
        <v>1412.7735423897279</v>
      </c>
      <c r="U320">
        <v>13745748.130000001</v>
      </c>
      <c r="V320">
        <v>21402106.393661987</v>
      </c>
      <c r="W320" t="s">
        <v>30</v>
      </c>
      <c r="X320" t="s">
        <v>490</v>
      </c>
      <c r="Y320" t="s">
        <v>503</v>
      </c>
      <c r="Z320" t="b">
        <v>0</v>
      </c>
      <c r="AA320" t="s">
        <v>44</v>
      </c>
      <c r="AB320" t="s">
        <v>36</v>
      </c>
      <c r="AC320" t="s">
        <v>158</v>
      </c>
    </row>
    <row r="321" spans="2:29" x14ac:dyDescent="0.35">
      <c r="B321" t="s">
        <v>502</v>
      </c>
      <c r="C321">
        <v>332.36</v>
      </c>
      <c r="D321" t="s">
        <v>179</v>
      </c>
      <c r="E321" s="10">
        <v>332.36</v>
      </c>
      <c r="F321" t="s">
        <v>30</v>
      </c>
      <c r="G321" s="14">
        <v>46054</v>
      </c>
      <c r="H321">
        <v>12377</v>
      </c>
      <c r="I321">
        <v>4113619.72</v>
      </c>
      <c r="J321">
        <v>35700</v>
      </c>
      <c r="K321" t="s">
        <v>488</v>
      </c>
      <c r="L321" s="9" t="s">
        <v>489</v>
      </c>
      <c r="M321" t="s">
        <v>42</v>
      </c>
      <c r="N321" s="12">
        <v>384.59100462236802</v>
      </c>
      <c r="O321" s="13">
        <v>1.1571518974075341</v>
      </c>
      <c r="P321" s="9" t="s">
        <v>502</v>
      </c>
      <c r="Q321">
        <v>460.47</v>
      </c>
      <c r="R321">
        <v>460.47</v>
      </c>
      <c r="S321" t="s">
        <v>39</v>
      </c>
      <c r="T321">
        <v>716.95100462236803</v>
      </c>
      <c r="U321">
        <v>2108031.66</v>
      </c>
      <c r="V321">
        <v>3282201.6991612008</v>
      </c>
      <c r="W321" t="s">
        <v>30</v>
      </c>
      <c r="X321" t="s">
        <v>490</v>
      </c>
      <c r="Y321" t="s">
        <v>503</v>
      </c>
      <c r="Z321" t="b">
        <v>0</v>
      </c>
      <c r="AA321" t="s">
        <v>44</v>
      </c>
      <c r="AB321" t="s">
        <v>36</v>
      </c>
      <c r="AC321" t="s">
        <v>158</v>
      </c>
    </row>
    <row r="322" spans="2:29" x14ac:dyDescent="0.35">
      <c r="B322" t="s">
        <v>502</v>
      </c>
      <c r="C322">
        <v>212.69</v>
      </c>
      <c r="D322" t="s">
        <v>179</v>
      </c>
      <c r="E322" s="10">
        <v>212.69</v>
      </c>
      <c r="F322" t="s">
        <v>30</v>
      </c>
      <c r="G322" s="14">
        <v>46054</v>
      </c>
      <c r="H322">
        <v>5087</v>
      </c>
      <c r="I322">
        <v>1081954.03</v>
      </c>
      <c r="J322">
        <v>23800</v>
      </c>
      <c r="K322" t="s">
        <v>488</v>
      </c>
      <c r="L322" s="9" t="s">
        <v>489</v>
      </c>
      <c r="M322" t="s">
        <v>42</v>
      </c>
      <c r="N322" s="12">
        <v>201.25356654918403</v>
      </c>
      <c r="O322" s="13">
        <v>0.94622956673648984</v>
      </c>
      <c r="P322" s="9" t="s">
        <v>502</v>
      </c>
      <c r="Q322">
        <v>265.86</v>
      </c>
      <c r="R322">
        <v>265.86</v>
      </c>
      <c r="S322" t="s">
        <v>39</v>
      </c>
      <c r="T322">
        <v>413.94356654918403</v>
      </c>
      <c r="U322">
        <v>475623.54000000004</v>
      </c>
      <c r="V322">
        <v>740545.04055649019</v>
      </c>
      <c r="W322" t="s">
        <v>30</v>
      </c>
      <c r="X322" t="s">
        <v>490</v>
      </c>
      <c r="Y322" t="s">
        <v>503</v>
      </c>
      <c r="Z322" t="b">
        <v>0</v>
      </c>
      <c r="AA322" t="s">
        <v>44</v>
      </c>
      <c r="AB322" t="s">
        <v>36</v>
      </c>
      <c r="AC322" t="s">
        <v>158</v>
      </c>
    </row>
    <row r="323" spans="2:29" x14ac:dyDescent="0.35">
      <c r="B323" t="s">
        <v>504</v>
      </c>
      <c r="C323">
        <v>740.37</v>
      </c>
      <c r="D323" t="s">
        <v>179</v>
      </c>
      <c r="E323" s="10">
        <v>740.37</v>
      </c>
      <c r="F323" t="s">
        <v>30</v>
      </c>
      <c r="G323" s="14">
        <v>46054</v>
      </c>
      <c r="H323">
        <v>13703</v>
      </c>
      <c r="I323">
        <v>10145290.109999999</v>
      </c>
      <c r="J323">
        <v>19040.8701</v>
      </c>
      <c r="K323" t="s">
        <v>488</v>
      </c>
      <c r="L323" s="9" t="s">
        <v>489</v>
      </c>
      <c r="M323" t="s">
        <v>42</v>
      </c>
      <c r="N323" s="12">
        <v>570.18660436236803</v>
      </c>
      <c r="O323" s="13">
        <v>0.77013736964270296</v>
      </c>
      <c r="P323" s="9" t="s">
        <v>504</v>
      </c>
      <c r="Q323">
        <v>841.72</v>
      </c>
      <c r="R323">
        <v>841.72</v>
      </c>
      <c r="S323" t="s">
        <v>39</v>
      </c>
      <c r="T323">
        <v>1310.556604362368</v>
      </c>
      <c r="U323">
        <v>11151948.280000001</v>
      </c>
      <c r="V323">
        <v>17363564.451197013</v>
      </c>
      <c r="W323" t="s">
        <v>30</v>
      </c>
      <c r="X323" t="s">
        <v>490</v>
      </c>
      <c r="Y323" t="s">
        <v>505</v>
      </c>
      <c r="Z323" t="b">
        <v>0</v>
      </c>
      <c r="AA323" t="s">
        <v>44</v>
      </c>
      <c r="AB323" t="s">
        <v>36</v>
      </c>
      <c r="AC323" t="s">
        <v>158</v>
      </c>
    </row>
    <row r="324" spans="2:29" x14ac:dyDescent="0.35">
      <c r="B324" t="s">
        <v>506</v>
      </c>
      <c r="C324">
        <v>904.24</v>
      </c>
      <c r="D324" t="s">
        <v>39</v>
      </c>
      <c r="E324" s="10">
        <v>1407.9001377282561</v>
      </c>
      <c r="F324" t="s">
        <v>30</v>
      </c>
      <c r="G324" s="14">
        <v>46054</v>
      </c>
      <c r="H324">
        <v>1910</v>
      </c>
      <c r="I324">
        <v>1727098.4</v>
      </c>
      <c r="J324">
        <v>9662.5072072920102</v>
      </c>
      <c r="K324" t="s">
        <v>507</v>
      </c>
      <c r="L324" s="9" t="s">
        <v>508</v>
      </c>
      <c r="M324" t="s">
        <v>33</v>
      </c>
      <c r="N324" s="12">
        <v>31.591495393375908</v>
      </c>
      <c r="O324" s="13">
        <v>2.2438733079713283E-2</v>
      </c>
      <c r="P324" s="9" t="s">
        <v>506</v>
      </c>
      <c r="Q324">
        <v>924.53</v>
      </c>
      <c r="R324">
        <v>924.53</v>
      </c>
      <c r="S324" t="s">
        <v>39</v>
      </c>
      <c r="T324">
        <v>1439.491633121632</v>
      </c>
      <c r="U324">
        <v>17576239.829999998</v>
      </c>
      <c r="V324">
        <v>27366175.437275346</v>
      </c>
      <c r="W324" t="s">
        <v>30</v>
      </c>
      <c r="X324" t="s">
        <v>509</v>
      </c>
      <c r="Y324" t="s">
        <v>510</v>
      </c>
      <c r="Z324" t="b">
        <v>0</v>
      </c>
      <c r="AA324" t="s">
        <v>44</v>
      </c>
      <c r="AB324" t="s">
        <v>45</v>
      </c>
      <c r="AC324" t="s">
        <v>273</v>
      </c>
    </row>
    <row r="325" spans="2:29" x14ac:dyDescent="0.35">
      <c r="B325" t="s">
        <v>506</v>
      </c>
      <c r="C325">
        <v>44.14</v>
      </c>
      <c r="D325" t="s">
        <v>39</v>
      </c>
      <c r="E325" s="10">
        <v>68.725904714815996</v>
      </c>
      <c r="F325" t="s">
        <v>30</v>
      </c>
      <c r="G325" s="14">
        <v>46054</v>
      </c>
      <c r="H325">
        <v>7077</v>
      </c>
      <c r="I325">
        <v>312378.78000000003</v>
      </c>
      <c r="J325">
        <v>9662.5072072920102</v>
      </c>
      <c r="K325" t="s">
        <v>507</v>
      </c>
      <c r="L325" s="9" t="s">
        <v>508</v>
      </c>
      <c r="M325" t="s">
        <v>33</v>
      </c>
      <c r="N325" s="12">
        <v>1313.7951608147202</v>
      </c>
      <c r="O325" s="13">
        <v>19.116447666515636</v>
      </c>
      <c r="P325" s="9" t="s">
        <v>506</v>
      </c>
      <c r="Q325">
        <v>887.94</v>
      </c>
      <c r="R325">
        <v>887.94</v>
      </c>
      <c r="S325" t="s">
        <v>39</v>
      </c>
      <c r="T325">
        <v>1382.5210655295361</v>
      </c>
      <c r="U325">
        <v>4315388.4000000004</v>
      </c>
      <c r="V325">
        <v>6719052.3784735454</v>
      </c>
      <c r="W325" t="s">
        <v>30</v>
      </c>
      <c r="X325" t="s">
        <v>509</v>
      </c>
      <c r="Y325" t="s">
        <v>510</v>
      </c>
      <c r="Z325" t="b">
        <v>0</v>
      </c>
      <c r="AA325" t="s">
        <v>44</v>
      </c>
      <c r="AB325" t="s">
        <v>45</v>
      </c>
      <c r="AC325" t="s">
        <v>273</v>
      </c>
    </row>
    <row r="326" spans="2:29" x14ac:dyDescent="0.35">
      <c r="B326" t="s">
        <v>511</v>
      </c>
      <c r="C326">
        <v>805.09</v>
      </c>
      <c r="D326" t="s">
        <v>39</v>
      </c>
      <c r="E326" s="10">
        <v>1253.5237568384962</v>
      </c>
      <c r="F326" t="s">
        <v>30</v>
      </c>
      <c r="G326" s="14">
        <v>46054</v>
      </c>
      <c r="H326">
        <v>4756</v>
      </c>
      <c r="I326">
        <v>3829008.04</v>
      </c>
      <c r="J326">
        <v>1566.83852362061</v>
      </c>
      <c r="K326" t="s">
        <v>507</v>
      </c>
      <c r="L326" s="9" t="s">
        <v>508</v>
      </c>
      <c r="M326" t="s">
        <v>33</v>
      </c>
      <c r="N326" s="12">
        <v>1095.0369004515201</v>
      </c>
      <c r="O326" s="13">
        <v>0.8735669304052962</v>
      </c>
      <c r="P326" s="9" t="s">
        <v>511</v>
      </c>
      <c r="Q326">
        <v>101.79</v>
      </c>
      <c r="R326">
        <v>101.79</v>
      </c>
      <c r="S326" t="s">
        <v>39</v>
      </c>
      <c r="T326">
        <v>158.486856386976</v>
      </c>
      <c r="U326">
        <v>1812167.37</v>
      </c>
      <c r="V326">
        <v>2821541.5042573339</v>
      </c>
      <c r="W326" t="s">
        <v>30</v>
      </c>
      <c r="X326" t="s">
        <v>509</v>
      </c>
      <c r="Y326" t="s">
        <v>512</v>
      </c>
      <c r="Z326" t="b">
        <v>0</v>
      </c>
      <c r="AA326" t="s">
        <v>44</v>
      </c>
      <c r="AB326" t="s">
        <v>45</v>
      </c>
      <c r="AC326" t="s">
        <v>273</v>
      </c>
    </row>
    <row r="327" spans="2:29" x14ac:dyDescent="0.35">
      <c r="B327" t="s">
        <v>511</v>
      </c>
      <c r="C327">
        <v>911.56</v>
      </c>
      <c r="D327" t="s">
        <v>39</v>
      </c>
      <c r="E327" s="10">
        <v>1419.297365243264</v>
      </c>
      <c r="F327" t="s">
        <v>30</v>
      </c>
      <c r="G327" s="14">
        <v>46054</v>
      </c>
      <c r="H327">
        <v>9956</v>
      </c>
      <c r="I327">
        <v>9075491.3599999994</v>
      </c>
      <c r="J327">
        <v>3917.0963090515202</v>
      </c>
      <c r="K327" t="s">
        <v>507</v>
      </c>
      <c r="L327" s="9" t="s">
        <v>508</v>
      </c>
      <c r="M327" t="s">
        <v>33</v>
      </c>
      <c r="N327" s="12">
        <v>1399.414497023776</v>
      </c>
      <c r="O327" s="13">
        <v>0.9859910483127825</v>
      </c>
      <c r="P327" s="9" t="s">
        <v>511</v>
      </c>
      <c r="Q327">
        <v>12.77</v>
      </c>
      <c r="R327">
        <v>12.77</v>
      </c>
      <c r="S327" t="s">
        <v>39</v>
      </c>
      <c r="T327">
        <v>19.882868219488</v>
      </c>
      <c r="U327">
        <v>98035.29</v>
      </c>
      <c r="V327">
        <v>152640.77932100938</v>
      </c>
      <c r="W327" t="s">
        <v>30</v>
      </c>
      <c r="X327" t="s">
        <v>509</v>
      </c>
      <c r="Y327" t="s">
        <v>512</v>
      </c>
      <c r="Z327" t="b">
        <v>0</v>
      </c>
      <c r="AA327" t="s">
        <v>44</v>
      </c>
      <c r="AB327" t="s">
        <v>45</v>
      </c>
      <c r="AC327" t="s">
        <v>273</v>
      </c>
    </row>
    <row r="328" spans="2:29" x14ac:dyDescent="0.35">
      <c r="B328" t="s">
        <v>511</v>
      </c>
      <c r="C328">
        <v>580.23</v>
      </c>
      <c r="D328" t="s">
        <v>39</v>
      </c>
      <c r="E328" s="10">
        <v>903.41712035971204</v>
      </c>
      <c r="F328" t="s">
        <v>30</v>
      </c>
      <c r="G328" s="14">
        <v>46054</v>
      </c>
      <c r="H328">
        <v>760</v>
      </c>
      <c r="I328">
        <v>440974.8</v>
      </c>
      <c r="J328">
        <v>2350.2577854309102</v>
      </c>
      <c r="K328" t="s">
        <v>507</v>
      </c>
      <c r="L328" s="9" t="s">
        <v>508</v>
      </c>
      <c r="M328" t="s">
        <v>33</v>
      </c>
      <c r="N328" s="12">
        <v>616.16650502585594</v>
      </c>
      <c r="O328" s="13">
        <v>0.68203988073694899</v>
      </c>
      <c r="P328" s="9" t="s">
        <v>511</v>
      </c>
      <c r="Q328">
        <v>184.49</v>
      </c>
      <c r="R328">
        <v>184.49</v>
      </c>
      <c r="S328" t="s">
        <v>39</v>
      </c>
      <c r="T328">
        <v>287.25061533385605</v>
      </c>
      <c r="U328">
        <v>3439447.0700000003</v>
      </c>
      <c r="V328">
        <v>5355213.2216690779</v>
      </c>
      <c r="W328" t="s">
        <v>30</v>
      </c>
      <c r="X328" t="s">
        <v>509</v>
      </c>
      <c r="Y328" t="s">
        <v>512</v>
      </c>
      <c r="Z328" t="b">
        <v>0</v>
      </c>
      <c r="AA328" t="s">
        <v>44</v>
      </c>
      <c r="AB328" t="s">
        <v>45</v>
      </c>
      <c r="AC328" t="s">
        <v>273</v>
      </c>
    </row>
    <row r="329" spans="2:29" x14ac:dyDescent="0.35">
      <c r="B329" t="s">
        <v>513</v>
      </c>
      <c r="C329">
        <v>133.26</v>
      </c>
      <c r="D329" t="s">
        <v>39</v>
      </c>
      <c r="E329" s="10">
        <v>207.485592711744</v>
      </c>
      <c r="F329" t="s">
        <v>30</v>
      </c>
      <c r="G329" s="14">
        <v>46054</v>
      </c>
      <c r="H329">
        <v>19013</v>
      </c>
      <c r="I329">
        <v>2533672.38</v>
      </c>
      <c r="J329">
        <v>1627.3746173068801</v>
      </c>
      <c r="K329" t="s">
        <v>507</v>
      </c>
      <c r="L329" s="9" t="s">
        <v>508</v>
      </c>
      <c r="M329" t="s">
        <v>33</v>
      </c>
      <c r="N329" s="12">
        <v>458.17788809308792</v>
      </c>
      <c r="O329" s="13">
        <v>2.2082395317424579</v>
      </c>
      <c r="P329" s="9" t="s">
        <v>513</v>
      </c>
      <c r="Q329">
        <v>427.53</v>
      </c>
      <c r="R329">
        <v>427.53</v>
      </c>
      <c r="S329" t="s">
        <v>39</v>
      </c>
      <c r="T329">
        <v>665.66348080483192</v>
      </c>
      <c r="U329">
        <v>7825509.1199999992</v>
      </c>
      <c r="V329">
        <v>12184304.352651643</v>
      </c>
      <c r="W329" t="s">
        <v>30</v>
      </c>
      <c r="X329" t="s">
        <v>509</v>
      </c>
      <c r="Y329" t="s">
        <v>514</v>
      </c>
      <c r="Z329" t="b">
        <v>0</v>
      </c>
      <c r="AA329" t="s">
        <v>44</v>
      </c>
      <c r="AB329" t="s">
        <v>45</v>
      </c>
      <c r="AC329" t="s">
        <v>273</v>
      </c>
    </row>
    <row r="330" spans="2:29" x14ac:dyDescent="0.35">
      <c r="B330" t="s">
        <v>515</v>
      </c>
      <c r="C330">
        <v>101.88</v>
      </c>
      <c r="D330" t="s">
        <v>39</v>
      </c>
      <c r="E330" s="10">
        <v>158.626986233472</v>
      </c>
      <c r="F330" t="s">
        <v>30</v>
      </c>
      <c r="G330" s="14">
        <v>46054</v>
      </c>
      <c r="H330">
        <v>17622</v>
      </c>
      <c r="I330">
        <v>1795329.3599999999</v>
      </c>
      <c r="J330">
        <v>9173.3668511164797</v>
      </c>
      <c r="K330" t="s">
        <v>507</v>
      </c>
      <c r="L330" s="9" t="s">
        <v>508</v>
      </c>
      <c r="M330" t="s">
        <v>33</v>
      </c>
      <c r="N330" s="12">
        <v>536.71288206262398</v>
      </c>
      <c r="O330" s="13">
        <v>3.3834903808402039</v>
      </c>
      <c r="P330" s="9" t="s">
        <v>515</v>
      </c>
      <c r="Q330">
        <v>446.59</v>
      </c>
      <c r="R330">
        <v>446.59</v>
      </c>
      <c r="S330" t="s">
        <v>39</v>
      </c>
      <c r="T330">
        <v>695.33986829609603</v>
      </c>
      <c r="U330">
        <v>6910087.0699999994</v>
      </c>
      <c r="V330">
        <v>10758993.782145495</v>
      </c>
      <c r="W330" t="s">
        <v>30</v>
      </c>
      <c r="X330" t="s">
        <v>509</v>
      </c>
      <c r="Y330" t="s">
        <v>516</v>
      </c>
      <c r="Z330" t="b">
        <v>0</v>
      </c>
      <c r="AA330" t="s">
        <v>44</v>
      </c>
      <c r="AB330" t="s">
        <v>45</v>
      </c>
      <c r="AC330" t="s">
        <v>273</v>
      </c>
    </row>
    <row r="331" spans="2:29" x14ac:dyDescent="0.35">
      <c r="B331" t="s">
        <v>517</v>
      </c>
      <c r="C331">
        <v>377.1</v>
      </c>
      <c r="D331" t="s">
        <v>39</v>
      </c>
      <c r="E331" s="10">
        <v>587.14405681824007</v>
      </c>
      <c r="F331" t="s">
        <v>30</v>
      </c>
      <c r="G331" s="14">
        <v>46054</v>
      </c>
      <c r="H331">
        <v>18521</v>
      </c>
      <c r="I331">
        <v>6984269.1000000006</v>
      </c>
      <c r="J331">
        <v>1665.1629659119701</v>
      </c>
      <c r="K331" t="s">
        <v>507</v>
      </c>
      <c r="L331" s="9" t="s">
        <v>508</v>
      </c>
      <c r="M331" t="s">
        <v>33</v>
      </c>
      <c r="N331" s="12">
        <v>687.44588694348806</v>
      </c>
      <c r="O331" s="13">
        <v>1.1708300185627154</v>
      </c>
      <c r="P331" s="9" t="s">
        <v>517</v>
      </c>
      <c r="Q331">
        <v>818.62</v>
      </c>
      <c r="R331">
        <v>818.62</v>
      </c>
      <c r="S331" t="s">
        <v>39</v>
      </c>
      <c r="T331">
        <v>1274.5899437617281</v>
      </c>
      <c r="U331">
        <v>11169251.279999999</v>
      </c>
      <c r="V331">
        <v>17390505.192685019</v>
      </c>
      <c r="W331" t="s">
        <v>30</v>
      </c>
      <c r="X331" t="s">
        <v>509</v>
      </c>
      <c r="Y331" t="s">
        <v>518</v>
      </c>
      <c r="Z331" t="b">
        <v>0</v>
      </c>
      <c r="AA331" t="s">
        <v>44</v>
      </c>
      <c r="AB331" t="s">
        <v>45</v>
      </c>
      <c r="AC331" t="s">
        <v>273</v>
      </c>
    </row>
    <row r="332" spans="2:29" x14ac:dyDescent="0.35">
      <c r="B332" t="s">
        <v>517</v>
      </c>
      <c r="C332">
        <v>420.37</v>
      </c>
      <c r="D332" t="s">
        <v>39</v>
      </c>
      <c r="E332" s="10">
        <v>654.51537301692804</v>
      </c>
      <c r="F332" t="s">
        <v>30</v>
      </c>
      <c r="G332" s="14">
        <v>46054</v>
      </c>
      <c r="H332">
        <v>15926</v>
      </c>
      <c r="I332">
        <v>6694812.6200000001</v>
      </c>
      <c r="J332">
        <v>3885.3802537945899</v>
      </c>
      <c r="K332" t="s">
        <v>507</v>
      </c>
      <c r="L332" s="9" t="s">
        <v>508</v>
      </c>
      <c r="M332" t="s">
        <v>33</v>
      </c>
      <c r="N332" s="12">
        <v>609.79838200175993</v>
      </c>
      <c r="O332" s="13">
        <v>0.93167923495967819</v>
      </c>
      <c r="P332" s="9" t="s">
        <v>517</v>
      </c>
      <c r="Q332">
        <v>812.02</v>
      </c>
      <c r="R332">
        <v>812.02</v>
      </c>
      <c r="S332" t="s">
        <v>39</v>
      </c>
      <c r="T332">
        <v>1264.313755018688</v>
      </c>
      <c r="U332">
        <v>5935866.2000000002</v>
      </c>
      <c r="V332">
        <v>9242133.5491866097</v>
      </c>
      <c r="W332" t="s">
        <v>30</v>
      </c>
      <c r="X332" t="s">
        <v>509</v>
      </c>
      <c r="Y332" t="s">
        <v>518</v>
      </c>
      <c r="Z332" t="b">
        <v>0</v>
      </c>
      <c r="AA332" t="s">
        <v>44</v>
      </c>
      <c r="AB332" t="s">
        <v>45</v>
      </c>
      <c r="AC332" t="s">
        <v>273</v>
      </c>
    </row>
    <row r="333" spans="2:29" x14ac:dyDescent="0.35">
      <c r="B333" t="s">
        <v>517</v>
      </c>
      <c r="C333">
        <v>550.63</v>
      </c>
      <c r="D333" t="s">
        <v>39</v>
      </c>
      <c r="E333" s="10">
        <v>857.32997084547196</v>
      </c>
      <c r="F333" t="s">
        <v>30</v>
      </c>
      <c r="G333" s="14">
        <v>46054</v>
      </c>
      <c r="H333">
        <v>7014</v>
      </c>
      <c r="I333">
        <v>3862118.82</v>
      </c>
      <c r="J333">
        <v>1665.1629659119701</v>
      </c>
      <c r="K333" t="s">
        <v>507</v>
      </c>
      <c r="L333" s="9" t="s">
        <v>508</v>
      </c>
      <c r="M333" t="s">
        <v>33</v>
      </c>
      <c r="N333" s="12">
        <v>265.65504899052803</v>
      </c>
      <c r="O333" s="13">
        <v>0.3098632475528032</v>
      </c>
      <c r="P333" s="9" t="s">
        <v>517</v>
      </c>
      <c r="Q333">
        <v>721.25</v>
      </c>
      <c r="R333">
        <v>721.25</v>
      </c>
      <c r="S333" t="s">
        <v>39</v>
      </c>
      <c r="T333">
        <v>1122.985019836</v>
      </c>
      <c r="U333">
        <v>6577800</v>
      </c>
      <c r="V333">
        <v>10241623.380904321</v>
      </c>
      <c r="W333" t="s">
        <v>30</v>
      </c>
      <c r="X333" t="s">
        <v>509</v>
      </c>
      <c r="Y333" t="s">
        <v>518</v>
      </c>
      <c r="Z333" t="b">
        <v>0</v>
      </c>
      <c r="AA333" t="s">
        <v>44</v>
      </c>
      <c r="AB333" t="s">
        <v>45</v>
      </c>
      <c r="AC333" t="s">
        <v>273</v>
      </c>
    </row>
    <row r="334" spans="2:29" x14ac:dyDescent="0.35">
      <c r="B334" t="s">
        <v>517</v>
      </c>
      <c r="C334">
        <v>864.14</v>
      </c>
      <c r="D334" t="s">
        <v>39</v>
      </c>
      <c r="E334" s="10">
        <v>1345.4645061228159</v>
      </c>
      <c r="F334" t="s">
        <v>30</v>
      </c>
      <c r="G334" s="14">
        <v>46054</v>
      </c>
      <c r="H334">
        <v>7769</v>
      </c>
      <c r="I334">
        <v>6713503.6600000001</v>
      </c>
      <c r="J334">
        <v>3885.3802537945899</v>
      </c>
      <c r="K334" t="s">
        <v>507</v>
      </c>
      <c r="L334" s="9" t="s">
        <v>508</v>
      </c>
      <c r="M334" t="s">
        <v>33</v>
      </c>
      <c r="N334" s="12">
        <v>1269.9345188614718</v>
      </c>
      <c r="O334" s="13">
        <v>0.94386326289721567</v>
      </c>
      <c r="P334" s="9" t="s">
        <v>517</v>
      </c>
      <c r="Q334">
        <v>48.51</v>
      </c>
      <c r="R334">
        <v>48.51</v>
      </c>
      <c r="S334" t="s">
        <v>39</v>
      </c>
      <c r="T334">
        <v>75.529987261344004</v>
      </c>
      <c r="U334">
        <v>312161.84999999998</v>
      </c>
      <c r="V334">
        <v>486035.46802674868</v>
      </c>
      <c r="W334" t="s">
        <v>30</v>
      </c>
      <c r="X334" t="s">
        <v>509</v>
      </c>
      <c r="Y334" t="s">
        <v>518</v>
      </c>
      <c r="Z334" t="b">
        <v>0</v>
      </c>
      <c r="AA334" t="s">
        <v>44</v>
      </c>
      <c r="AB334" t="s">
        <v>45</v>
      </c>
      <c r="AC334" t="s">
        <v>273</v>
      </c>
    </row>
    <row r="335" spans="2:29" x14ac:dyDescent="0.35">
      <c r="B335" t="s">
        <v>519</v>
      </c>
      <c r="C335">
        <v>225.85</v>
      </c>
      <c r="D335" t="s">
        <v>39</v>
      </c>
      <c r="E335" s="10">
        <v>351.64806479024003</v>
      </c>
      <c r="F335" t="s">
        <v>30</v>
      </c>
      <c r="G335" s="14">
        <v>46054</v>
      </c>
      <c r="H335">
        <v>15077</v>
      </c>
      <c r="I335">
        <v>3405140.4499999997</v>
      </c>
      <c r="J335">
        <v>2500.8506604652798</v>
      </c>
      <c r="K335" t="s">
        <v>507</v>
      </c>
      <c r="L335" s="9" t="s">
        <v>508</v>
      </c>
      <c r="M335" t="s">
        <v>33</v>
      </c>
      <c r="N335" s="12">
        <v>316.92700282511998</v>
      </c>
      <c r="O335" s="13">
        <v>0.90126189949081237</v>
      </c>
      <c r="P335" s="9" t="s">
        <v>519</v>
      </c>
      <c r="Q335">
        <v>429.4</v>
      </c>
      <c r="R335">
        <v>429.4</v>
      </c>
      <c r="S335" t="s">
        <v>39</v>
      </c>
      <c r="T335">
        <v>668.57506761536001</v>
      </c>
      <c r="U335">
        <v>1380950.4</v>
      </c>
      <c r="V335">
        <v>2150137.417450998</v>
      </c>
      <c r="W335" t="s">
        <v>30</v>
      </c>
      <c r="X335" t="s">
        <v>509</v>
      </c>
      <c r="Y335" t="s">
        <v>520</v>
      </c>
      <c r="Z335" t="b">
        <v>0</v>
      </c>
      <c r="AA335" t="s">
        <v>44</v>
      </c>
      <c r="AB335" t="s">
        <v>45</v>
      </c>
      <c r="AC335" t="s">
        <v>521</v>
      </c>
    </row>
    <row r="336" spans="2:29" x14ac:dyDescent="0.35">
      <c r="B336" t="s">
        <v>519</v>
      </c>
      <c r="C336">
        <v>340.96</v>
      </c>
      <c r="D336" t="s">
        <v>39</v>
      </c>
      <c r="E336" s="10">
        <v>530.87413845862397</v>
      </c>
      <c r="F336" t="s">
        <v>30</v>
      </c>
      <c r="G336" s="14">
        <v>46054</v>
      </c>
      <c r="H336">
        <v>14891</v>
      </c>
      <c r="I336">
        <v>5077235.3599999994</v>
      </c>
      <c r="J336">
        <v>2500.8506604652798</v>
      </c>
      <c r="K336" t="s">
        <v>507</v>
      </c>
      <c r="L336" s="9" t="s">
        <v>508</v>
      </c>
      <c r="M336" t="s">
        <v>33</v>
      </c>
      <c r="N336" s="12">
        <v>115.94966298396793</v>
      </c>
      <c r="O336" s="13">
        <v>0.21841271703425608</v>
      </c>
      <c r="P336" s="9" t="s">
        <v>519</v>
      </c>
      <c r="Q336">
        <v>266.49</v>
      </c>
      <c r="R336">
        <v>266.49</v>
      </c>
      <c r="S336" t="s">
        <v>39</v>
      </c>
      <c r="T336">
        <v>414.92447547465605</v>
      </c>
      <c r="U336">
        <v>1662897.6</v>
      </c>
      <c r="V336">
        <v>2589128.7269618539</v>
      </c>
      <c r="W336" t="s">
        <v>30</v>
      </c>
      <c r="X336" t="s">
        <v>509</v>
      </c>
      <c r="Y336" t="s">
        <v>520</v>
      </c>
      <c r="Z336" t="b">
        <v>0</v>
      </c>
      <c r="AA336" t="s">
        <v>44</v>
      </c>
      <c r="AB336" t="s">
        <v>45</v>
      </c>
      <c r="AC336" t="s">
        <v>521</v>
      </c>
    </row>
    <row r="337" spans="2:29" x14ac:dyDescent="0.35">
      <c r="B337" t="s">
        <v>522</v>
      </c>
      <c r="C337">
        <v>634.63</v>
      </c>
      <c r="D337" t="s">
        <v>39</v>
      </c>
      <c r="E337" s="10">
        <v>988.11782757507206</v>
      </c>
      <c r="F337" t="s">
        <v>30</v>
      </c>
      <c r="G337" s="14">
        <v>46054</v>
      </c>
      <c r="H337">
        <v>1258</v>
      </c>
      <c r="I337">
        <v>798364.54</v>
      </c>
      <c r="J337">
        <v>7129.2585263168503</v>
      </c>
      <c r="K337" t="s">
        <v>507</v>
      </c>
      <c r="L337" s="9" t="s">
        <v>508</v>
      </c>
      <c r="M337" t="s">
        <v>33</v>
      </c>
      <c r="N337" s="12">
        <v>864.14962337494399</v>
      </c>
      <c r="O337" s="13">
        <v>0.87454107117533042</v>
      </c>
      <c r="P337" s="9" t="s">
        <v>522</v>
      </c>
      <c r="Q337">
        <v>79.62</v>
      </c>
      <c r="R337">
        <v>79.62</v>
      </c>
      <c r="S337" t="s">
        <v>39</v>
      </c>
      <c r="T337">
        <v>123.96820420012801</v>
      </c>
      <c r="U337">
        <v>662119.92000000004</v>
      </c>
      <c r="V337">
        <v>1030919.5861282645</v>
      </c>
      <c r="W337" t="s">
        <v>30</v>
      </c>
      <c r="X337" t="s">
        <v>509</v>
      </c>
      <c r="Y337" t="s">
        <v>523</v>
      </c>
      <c r="Z337" t="b">
        <v>0</v>
      </c>
      <c r="AA337" t="s">
        <v>44</v>
      </c>
      <c r="AB337" t="s">
        <v>45</v>
      </c>
      <c r="AC337" t="s">
        <v>521</v>
      </c>
    </row>
    <row r="338" spans="2:29" x14ac:dyDescent="0.35">
      <c r="B338" t="s">
        <v>524</v>
      </c>
      <c r="C338">
        <v>840</v>
      </c>
      <c r="D338" t="s">
        <v>39</v>
      </c>
      <c r="E338" s="10">
        <v>1307.878567296</v>
      </c>
      <c r="F338" t="s">
        <v>30</v>
      </c>
      <c r="G338" s="14">
        <v>46054</v>
      </c>
      <c r="H338">
        <v>5066</v>
      </c>
      <c r="I338">
        <v>4255440</v>
      </c>
      <c r="J338">
        <v>8635.6419201624994</v>
      </c>
      <c r="K338" t="s">
        <v>507</v>
      </c>
      <c r="L338" s="9" t="s">
        <v>508</v>
      </c>
      <c r="M338" t="s">
        <v>33</v>
      </c>
      <c r="N338" s="12">
        <v>1266.6181124944001</v>
      </c>
      <c r="O338" s="13">
        <v>0.96845238095238095</v>
      </c>
      <c r="P338" s="9" t="s">
        <v>524</v>
      </c>
      <c r="Q338">
        <v>26.5</v>
      </c>
      <c r="R338">
        <v>26.5</v>
      </c>
      <c r="S338" t="s">
        <v>39</v>
      </c>
      <c r="T338">
        <v>41.260454801599998</v>
      </c>
      <c r="U338">
        <v>328706</v>
      </c>
      <c r="V338">
        <v>511794.68135904637</v>
      </c>
      <c r="W338" t="s">
        <v>30</v>
      </c>
      <c r="X338" t="s">
        <v>509</v>
      </c>
      <c r="Y338" t="s">
        <v>525</v>
      </c>
      <c r="Z338" t="b">
        <v>0</v>
      </c>
      <c r="AA338" t="s">
        <v>44</v>
      </c>
      <c r="AB338" t="s">
        <v>45</v>
      </c>
      <c r="AC338" t="s">
        <v>521</v>
      </c>
    </row>
    <row r="339" spans="2:29" x14ac:dyDescent="0.35">
      <c r="B339" t="s">
        <v>524</v>
      </c>
      <c r="C339">
        <v>368.72</v>
      </c>
      <c r="D339" t="s">
        <v>39</v>
      </c>
      <c r="E339" s="10">
        <v>574.09641111116809</v>
      </c>
      <c r="F339" t="s">
        <v>30</v>
      </c>
      <c r="G339" s="14">
        <v>46054</v>
      </c>
      <c r="H339">
        <v>5521</v>
      </c>
      <c r="I339">
        <v>2035703.12</v>
      </c>
      <c r="J339">
        <v>5037.4577867614598</v>
      </c>
      <c r="K339" t="s">
        <v>507</v>
      </c>
      <c r="L339" s="9" t="s">
        <v>508</v>
      </c>
      <c r="M339" t="s">
        <v>33</v>
      </c>
      <c r="N339" s="12">
        <v>619.85659098358394</v>
      </c>
      <c r="O339" s="13">
        <v>1.0797081796485135</v>
      </c>
      <c r="P339" s="9" t="s">
        <v>524</v>
      </c>
      <c r="Q339">
        <v>766.83</v>
      </c>
      <c r="R339">
        <v>766.83</v>
      </c>
      <c r="S339" t="s">
        <v>39</v>
      </c>
      <c r="T339">
        <v>1193.953002094752</v>
      </c>
      <c r="U339">
        <v>2978367.72</v>
      </c>
      <c r="V339">
        <v>4637313.4601360168</v>
      </c>
      <c r="W339" t="s">
        <v>30</v>
      </c>
      <c r="X339" t="s">
        <v>509</v>
      </c>
      <c r="Y339" t="s">
        <v>525</v>
      </c>
      <c r="Z339" t="b">
        <v>0</v>
      </c>
      <c r="AA339" t="s">
        <v>44</v>
      </c>
      <c r="AB339" t="s">
        <v>45</v>
      </c>
      <c r="AC339" t="s">
        <v>521</v>
      </c>
    </row>
    <row r="340" spans="2:29" x14ac:dyDescent="0.35">
      <c r="B340" t="s">
        <v>524</v>
      </c>
      <c r="C340">
        <v>956.57</v>
      </c>
      <c r="D340" t="s">
        <v>39</v>
      </c>
      <c r="E340" s="10">
        <v>1489.3778584742081</v>
      </c>
      <c r="F340" t="s">
        <v>30</v>
      </c>
      <c r="G340" s="14">
        <v>46054</v>
      </c>
      <c r="H340">
        <v>14964</v>
      </c>
      <c r="I340">
        <v>14314113.48</v>
      </c>
      <c r="J340">
        <v>719.63682668020795</v>
      </c>
      <c r="K340" t="s">
        <v>507</v>
      </c>
      <c r="L340" s="9" t="s">
        <v>508</v>
      </c>
      <c r="M340" t="s">
        <v>33</v>
      </c>
      <c r="N340" s="12">
        <v>970.11892729180806</v>
      </c>
      <c r="O340" s="13">
        <v>0.65135849963933634</v>
      </c>
      <c r="P340" s="9" t="s">
        <v>524</v>
      </c>
      <c r="Q340">
        <v>333.5</v>
      </c>
      <c r="R340">
        <v>333.5</v>
      </c>
      <c r="S340" t="s">
        <v>39</v>
      </c>
      <c r="T340">
        <v>519.25893118240003</v>
      </c>
      <c r="U340">
        <v>2884775</v>
      </c>
      <c r="V340">
        <v>4491589.7547277603</v>
      </c>
      <c r="W340" t="s">
        <v>30</v>
      </c>
      <c r="X340" t="s">
        <v>509</v>
      </c>
      <c r="Y340" t="s">
        <v>525</v>
      </c>
      <c r="Z340" t="b">
        <v>0</v>
      </c>
      <c r="AA340" t="s">
        <v>44</v>
      </c>
      <c r="AB340" t="s">
        <v>45</v>
      </c>
      <c r="AC340" t="s">
        <v>521</v>
      </c>
    </row>
    <row r="341" spans="2:29" x14ac:dyDescent="0.35">
      <c r="B341" t="s">
        <v>524</v>
      </c>
      <c r="C341">
        <v>548.37</v>
      </c>
      <c r="D341" t="s">
        <v>39</v>
      </c>
      <c r="E341" s="10">
        <v>853.81115470012799</v>
      </c>
      <c r="F341" t="s">
        <v>30</v>
      </c>
      <c r="G341" s="14">
        <v>46054</v>
      </c>
      <c r="H341">
        <v>12403</v>
      </c>
      <c r="I341">
        <v>6801433.1100000003</v>
      </c>
      <c r="J341">
        <v>11514.1892268833</v>
      </c>
      <c r="K341" t="s">
        <v>507</v>
      </c>
      <c r="L341" s="9" t="s">
        <v>508</v>
      </c>
      <c r="M341" t="s">
        <v>33</v>
      </c>
      <c r="N341" s="12">
        <v>648.53649956643198</v>
      </c>
      <c r="O341" s="13">
        <v>0.7595783868555902</v>
      </c>
      <c r="P341" s="9" t="s">
        <v>524</v>
      </c>
      <c r="Q341">
        <v>131.84</v>
      </c>
      <c r="R341">
        <v>131.84</v>
      </c>
      <c r="S341" t="s">
        <v>39</v>
      </c>
      <c r="T341">
        <v>205.274655133696</v>
      </c>
      <c r="U341">
        <v>1824006.4000000001</v>
      </c>
      <c r="V341">
        <v>2839974.853774684</v>
      </c>
      <c r="W341" t="s">
        <v>30</v>
      </c>
      <c r="X341" t="s">
        <v>509</v>
      </c>
      <c r="Y341" t="s">
        <v>525</v>
      </c>
      <c r="Z341" t="b">
        <v>0</v>
      </c>
      <c r="AA341" t="s">
        <v>44</v>
      </c>
      <c r="AB341" t="s">
        <v>45</v>
      </c>
      <c r="AC341" t="s">
        <v>521</v>
      </c>
    </row>
    <row r="342" spans="2:29" x14ac:dyDescent="0.35">
      <c r="B342" t="s">
        <v>524</v>
      </c>
      <c r="C342">
        <v>5.15</v>
      </c>
      <c r="D342" t="s">
        <v>39</v>
      </c>
      <c r="E342" s="10">
        <v>8.0185412161600009</v>
      </c>
      <c r="F342" t="s">
        <v>30</v>
      </c>
      <c r="G342" s="14">
        <v>46054</v>
      </c>
      <c r="H342">
        <v>651</v>
      </c>
      <c r="I342">
        <v>3352.65</v>
      </c>
      <c r="J342">
        <v>2878.54730672083</v>
      </c>
      <c r="K342" t="s">
        <v>507</v>
      </c>
      <c r="L342" s="9" t="s">
        <v>508</v>
      </c>
      <c r="M342" t="s">
        <v>33</v>
      </c>
      <c r="N342" s="12">
        <v>757.01257073728004</v>
      </c>
      <c r="O342" s="13">
        <v>94.40776699029125</v>
      </c>
      <c r="P342" s="9" t="s">
        <v>524</v>
      </c>
      <c r="Q342">
        <v>491.35</v>
      </c>
      <c r="R342">
        <v>491.35</v>
      </c>
      <c r="S342" t="s">
        <v>39</v>
      </c>
      <c r="T342">
        <v>765.03111195344002</v>
      </c>
      <c r="U342">
        <v>2011586.9000000001</v>
      </c>
      <c r="V342">
        <v>3132037.3723373832</v>
      </c>
      <c r="W342" t="s">
        <v>30</v>
      </c>
      <c r="X342" t="s">
        <v>509</v>
      </c>
      <c r="Y342" t="s">
        <v>525</v>
      </c>
      <c r="Z342" t="b">
        <v>0</v>
      </c>
      <c r="AA342" t="s">
        <v>44</v>
      </c>
      <c r="AB342" t="s">
        <v>45</v>
      </c>
      <c r="AC342" t="s">
        <v>521</v>
      </c>
    </row>
    <row r="343" spans="2:29" x14ac:dyDescent="0.35">
      <c r="B343" t="s">
        <v>526</v>
      </c>
      <c r="C343">
        <v>427.73</v>
      </c>
      <c r="D343" t="s">
        <v>39</v>
      </c>
      <c r="E343" s="10">
        <v>665.974880463712</v>
      </c>
      <c r="F343" t="s">
        <v>30</v>
      </c>
      <c r="G343" s="14">
        <v>46054</v>
      </c>
      <c r="H343">
        <v>5728</v>
      </c>
      <c r="I343">
        <v>2450037.44</v>
      </c>
      <c r="J343">
        <v>436.66017166448</v>
      </c>
      <c r="K343" t="s">
        <v>507</v>
      </c>
      <c r="L343" s="9" t="s">
        <v>508</v>
      </c>
      <c r="M343" t="s">
        <v>33</v>
      </c>
      <c r="N343" s="12">
        <v>141.76469470511995</v>
      </c>
      <c r="O343" s="13">
        <v>0.21286793070394869</v>
      </c>
      <c r="P343" s="9" t="s">
        <v>526</v>
      </c>
      <c r="Q343">
        <v>336.68</v>
      </c>
      <c r="R343">
        <v>336.68</v>
      </c>
      <c r="S343" t="s">
        <v>39</v>
      </c>
      <c r="T343">
        <v>524.21018575859205</v>
      </c>
      <c r="U343">
        <v>6620812.2000000002</v>
      </c>
      <c r="V343">
        <v>10308593.302942712</v>
      </c>
      <c r="W343" t="s">
        <v>30</v>
      </c>
      <c r="X343" t="s">
        <v>509</v>
      </c>
      <c r="Y343" t="s">
        <v>527</v>
      </c>
      <c r="Z343" t="b">
        <v>0</v>
      </c>
      <c r="AA343" t="s">
        <v>44</v>
      </c>
      <c r="AB343" t="s">
        <v>45</v>
      </c>
      <c r="AC343" t="s">
        <v>273</v>
      </c>
    </row>
    <row r="344" spans="2:29" x14ac:dyDescent="0.35">
      <c r="B344" t="s">
        <v>526</v>
      </c>
      <c r="C344">
        <v>724.5</v>
      </c>
      <c r="D344" t="s">
        <v>39</v>
      </c>
      <c r="E344" s="10">
        <v>1128.0452642928001</v>
      </c>
      <c r="F344" t="s">
        <v>30</v>
      </c>
      <c r="G344" s="14">
        <v>46054</v>
      </c>
      <c r="H344">
        <v>16610</v>
      </c>
      <c r="I344">
        <v>12033945</v>
      </c>
      <c r="J344">
        <v>2183.3008583224</v>
      </c>
      <c r="K344" t="s">
        <v>507</v>
      </c>
      <c r="L344" s="9" t="s">
        <v>508</v>
      </c>
      <c r="M344" t="s">
        <v>33</v>
      </c>
      <c r="N344" s="12">
        <v>508.67134278048002</v>
      </c>
      <c r="O344" s="13">
        <v>0.45093167701863351</v>
      </c>
      <c r="P344" s="9" t="s">
        <v>526</v>
      </c>
      <c r="Q344">
        <v>397.8</v>
      </c>
      <c r="R344">
        <v>397.8</v>
      </c>
      <c r="S344" t="s">
        <v>39</v>
      </c>
      <c r="T344">
        <v>619.37392151232007</v>
      </c>
      <c r="U344">
        <v>5392576.7999999998</v>
      </c>
      <c r="V344">
        <v>8396232.8800210115</v>
      </c>
      <c r="W344" t="s">
        <v>30</v>
      </c>
      <c r="X344" t="s">
        <v>509</v>
      </c>
      <c r="Y344" t="s">
        <v>527</v>
      </c>
      <c r="Z344" t="b">
        <v>0</v>
      </c>
      <c r="AA344" t="s">
        <v>44</v>
      </c>
      <c r="AB344" t="s">
        <v>45</v>
      </c>
      <c r="AC344" t="s">
        <v>273</v>
      </c>
    </row>
    <row r="345" spans="2:29" x14ac:dyDescent="0.35">
      <c r="B345" t="s">
        <v>526</v>
      </c>
      <c r="C345">
        <v>925.98</v>
      </c>
      <c r="D345" t="s">
        <v>39</v>
      </c>
      <c r="E345" s="10">
        <v>1441.749280648512</v>
      </c>
      <c r="F345" t="s">
        <v>30</v>
      </c>
      <c r="G345" s="14">
        <v>46054</v>
      </c>
      <c r="H345">
        <v>11949</v>
      </c>
      <c r="I345">
        <v>11064535.02</v>
      </c>
      <c r="J345">
        <v>436.66017166448</v>
      </c>
      <c r="K345" t="s">
        <v>507</v>
      </c>
      <c r="L345" s="9" t="s">
        <v>508</v>
      </c>
      <c r="M345" t="s">
        <v>33</v>
      </c>
      <c r="N345" s="12">
        <v>1061.3901673095361</v>
      </c>
      <c r="O345" s="13">
        <v>0.73618220695911363</v>
      </c>
      <c r="P345" s="9" t="s">
        <v>526</v>
      </c>
      <c r="Q345">
        <v>244.29</v>
      </c>
      <c r="R345">
        <v>244.29</v>
      </c>
      <c r="S345" t="s">
        <v>39</v>
      </c>
      <c r="T345">
        <v>380.35911333897599</v>
      </c>
      <c r="U345">
        <v>2896790.82</v>
      </c>
      <c r="V345">
        <v>4510298.3659735769</v>
      </c>
      <c r="W345" t="s">
        <v>30</v>
      </c>
      <c r="X345" t="s">
        <v>509</v>
      </c>
      <c r="Y345" t="s">
        <v>527</v>
      </c>
      <c r="Z345" t="b">
        <v>0</v>
      </c>
      <c r="AA345" t="s">
        <v>44</v>
      </c>
      <c r="AB345" t="s">
        <v>45</v>
      </c>
      <c r="AC345" t="s">
        <v>273</v>
      </c>
    </row>
    <row r="346" spans="2:29" x14ac:dyDescent="0.35">
      <c r="B346" t="s">
        <v>526</v>
      </c>
      <c r="C346">
        <v>275.33999999999997</v>
      </c>
      <c r="D346" t="s">
        <v>39</v>
      </c>
      <c r="E346" s="10">
        <v>428.70391038009598</v>
      </c>
      <c r="F346" t="s">
        <v>30</v>
      </c>
      <c r="G346" s="14">
        <v>46054</v>
      </c>
      <c r="H346">
        <v>11130</v>
      </c>
      <c r="I346">
        <v>3064534.1999999997</v>
      </c>
      <c r="J346">
        <v>2183.3008583224</v>
      </c>
      <c r="K346" t="s">
        <v>507</v>
      </c>
      <c r="L346" s="9" t="s">
        <v>508</v>
      </c>
      <c r="M346" t="s">
        <v>33</v>
      </c>
      <c r="N346" s="12">
        <v>647.27533094796786</v>
      </c>
      <c r="O346" s="13">
        <v>1.5098423766979006</v>
      </c>
      <c r="P346" s="9" t="s">
        <v>526</v>
      </c>
      <c r="Q346">
        <v>691.06</v>
      </c>
      <c r="R346">
        <v>691.06</v>
      </c>
      <c r="S346" t="s">
        <v>39</v>
      </c>
      <c r="T346">
        <v>1075.9792413280638</v>
      </c>
      <c r="U346">
        <v>5245836.46</v>
      </c>
      <c r="V346">
        <v>8167758.4209213322</v>
      </c>
      <c r="W346" t="s">
        <v>30</v>
      </c>
      <c r="X346" t="s">
        <v>509</v>
      </c>
      <c r="Y346" t="s">
        <v>527</v>
      </c>
      <c r="Z346" t="b">
        <v>0</v>
      </c>
      <c r="AA346" t="s">
        <v>44</v>
      </c>
      <c r="AB346" t="s">
        <v>45</v>
      </c>
      <c r="AC346" t="s">
        <v>273</v>
      </c>
    </row>
    <row r="347" spans="2:29" x14ac:dyDescent="0.35">
      <c r="B347" t="s">
        <v>528</v>
      </c>
      <c r="C347">
        <v>100.51</v>
      </c>
      <c r="D347" t="s">
        <v>179</v>
      </c>
      <c r="E347" s="10">
        <v>100.51</v>
      </c>
      <c r="F347" t="s">
        <v>30</v>
      </c>
      <c r="G347" s="14">
        <v>46054</v>
      </c>
      <c r="H347">
        <v>9898</v>
      </c>
      <c r="I347">
        <v>994847.9800000001</v>
      </c>
      <c r="J347">
        <v>14604.15</v>
      </c>
      <c r="K347" t="s">
        <v>529</v>
      </c>
      <c r="L347" s="9" t="s">
        <v>530</v>
      </c>
      <c r="M347" t="s">
        <v>50</v>
      </c>
      <c r="N347" s="12">
        <v>1115.490097943456</v>
      </c>
      <c r="O347" s="13">
        <v>11.098299651213372</v>
      </c>
      <c r="P347" s="9" t="s">
        <v>528</v>
      </c>
      <c r="Q347">
        <v>780.99</v>
      </c>
      <c r="R347">
        <v>780.99</v>
      </c>
      <c r="S347" t="s">
        <v>39</v>
      </c>
      <c r="T347">
        <v>1216.000097943456</v>
      </c>
      <c r="U347">
        <v>14870049.6</v>
      </c>
      <c r="V347">
        <v>23152641.864843402</v>
      </c>
      <c r="W347" t="s">
        <v>30</v>
      </c>
      <c r="X347" t="s">
        <v>531</v>
      </c>
      <c r="Y347" t="s">
        <v>532</v>
      </c>
      <c r="Z347" t="b">
        <v>0</v>
      </c>
      <c r="AA347" t="s">
        <v>44</v>
      </c>
      <c r="AB347" t="s">
        <v>36</v>
      </c>
      <c r="AC347" t="s">
        <v>357</v>
      </c>
    </row>
    <row r="348" spans="2:29" x14ac:dyDescent="0.35">
      <c r="B348" t="s">
        <v>478</v>
      </c>
      <c r="C348">
        <v>693.42</v>
      </c>
      <c r="D348" t="s">
        <v>39</v>
      </c>
      <c r="E348" s="10">
        <v>1079.6537573028479</v>
      </c>
      <c r="F348" t="s">
        <v>30</v>
      </c>
      <c r="G348" s="14">
        <v>46054</v>
      </c>
      <c r="H348">
        <v>13643</v>
      </c>
      <c r="I348">
        <v>9460329.0599999987</v>
      </c>
      <c r="J348">
        <v>31.205359816364801</v>
      </c>
      <c r="K348" t="s">
        <v>474</v>
      </c>
      <c r="L348" s="9" t="s">
        <v>475</v>
      </c>
      <c r="M348" t="s">
        <v>50</v>
      </c>
      <c r="N348" s="12">
        <v>944.0703458264959</v>
      </c>
      <c r="O348" s="13">
        <v>0.87441954371088226</v>
      </c>
      <c r="P348" s="9" t="s">
        <v>478</v>
      </c>
      <c r="Q348">
        <v>87.08</v>
      </c>
      <c r="R348">
        <v>8.7080000000000005E-2</v>
      </c>
      <c r="S348" t="s">
        <v>39</v>
      </c>
      <c r="T348">
        <v>135.58341147635201</v>
      </c>
      <c r="U348">
        <v>1135087.8</v>
      </c>
      <c r="V348">
        <v>1767329.7685942485</v>
      </c>
      <c r="W348" t="s">
        <v>352</v>
      </c>
      <c r="X348" t="s">
        <v>476</v>
      </c>
      <c r="Y348" t="s">
        <v>479</v>
      </c>
      <c r="Z348" t="b">
        <v>0</v>
      </c>
      <c r="AA348" t="s">
        <v>44</v>
      </c>
      <c r="AB348" t="s">
        <v>45</v>
      </c>
      <c r="AC348" t="s">
        <v>434</v>
      </c>
    </row>
    <row r="349" spans="2:29" x14ac:dyDescent="0.35">
      <c r="B349" t="s">
        <v>533</v>
      </c>
      <c r="C349">
        <v>760.05</v>
      </c>
      <c r="D349" t="s">
        <v>179</v>
      </c>
      <c r="E349" s="10">
        <v>760.05</v>
      </c>
      <c r="F349" t="s">
        <v>30</v>
      </c>
      <c r="G349" s="14">
        <v>46054</v>
      </c>
      <c r="H349">
        <v>9472</v>
      </c>
      <c r="I349">
        <v>7199193.5999999996</v>
      </c>
      <c r="J349">
        <v>27316.799999999999</v>
      </c>
      <c r="K349" t="s">
        <v>529</v>
      </c>
      <c r="L349" s="9" t="s">
        <v>530</v>
      </c>
      <c r="M349" t="s">
        <v>50</v>
      </c>
      <c r="N349" s="12">
        <v>651.19768406121602</v>
      </c>
      <c r="O349" s="13">
        <v>0.85678269069300184</v>
      </c>
      <c r="P349" s="9" t="s">
        <v>533</v>
      </c>
      <c r="Q349">
        <v>906.39</v>
      </c>
      <c r="R349">
        <v>906.39</v>
      </c>
      <c r="S349" t="s">
        <v>39</v>
      </c>
      <c r="T349">
        <v>1411.247684061216</v>
      </c>
      <c r="U349">
        <v>6527820.7800000003</v>
      </c>
      <c r="V349">
        <v>10163805.820608877</v>
      </c>
      <c r="W349" t="s">
        <v>30</v>
      </c>
      <c r="X349" t="s">
        <v>531</v>
      </c>
      <c r="Y349" t="s">
        <v>532</v>
      </c>
      <c r="Z349" t="b">
        <v>0</v>
      </c>
      <c r="AA349" t="s">
        <v>44</v>
      </c>
      <c r="AB349" t="s">
        <v>36</v>
      </c>
      <c r="AC349" t="s">
        <v>357</v>
      </c>
    </row>
    <row r="350" spans="2:29" x14ac:dyDescent="0.35">
      <c r="B350" t="s">
        <v>534</v>
      </c>
      <c r="C350">
        <v>988.1</v>
      </c>
      <c r="D350" t="s">
        <v>179</v>
      </c>
      <c r="E350" s="10">
        <v>988.1</v>
      </c>
      <c r="F350" t="s">
        <v>30</v>
      </c>
      <c r="G350" s="14">
        <v>46054</v>
      </c>
      <c r="H350">
        <v>12443</v>
      </c>
      <c r="I350">
        <v>12294928.300000001</v>
      </c>
      <c r="J350">
        <v>45039.6</v>
      </c>
      <c r="K350" t="s">
        <v>529</v>
      </c>
      <c r="L350" s="9" t="s">
        <v>530</v>
      </c>
      <c r="M350" t="s">
        <v>50</v>
      </c>
      <c r="N350" s="12">
        <v>491.95143869075207</v>
      </c>
      <c r="O350" s="13">
        <v>0.49787616505490545</v>
      </c>
      <c r="P350" s="9" t="s">
        <v>534</v>
      </c>
      <c r="Q350">
        <v>950.58</v>
      </c>
      <c r="R350">
        <v>950.58</v>
      </c>
      <c r="S350" t="s">
        <v>39</v>
      </c>
      <c r="T350">
        <v>1480.0514386907521</v>
      </c>
      <c r="U350">
        <v>8870812.5600000005</v>
      </c>
      <c r="V350">
        <v>13811840.025862098</v>
      </c>
      <c r="W350" t="s">
        <v>30</v>
      </c>
      <c r="X350" t="s">
        <v>531</v>
      </c>
      <c r="Y350" t="s">
        <v>532</v>
      </c>
      <c r="Z350" t="b">
        <v>0</v>
      </c>
      <c r="AA350" t="s">
        <v>44</v>
      </c>
      <c r="AB350" t="s">
        <v>36</v>
      </c>
      <c r="AC350" t="s">
        <v>357</v>
      </c>
    </row>
    <row r="351" spans="2:29" x14ac:dyDescent="0.35">
      <c r="B351" t="s">
        <v>535</v>
      </c>
      <c r="C351">
        <v>467.76</v>
      </c>
      <c r="D351" t="s">
        <v>179</v>
      </c>
      <c r="E351" s="10">
        <v>467.76</v>
      </c>
      <c r="F351" t="s">
        <v>30</v>
      </c>
      <c r="G351" s="14">
        <v>46054</v>
      </c>
      <c r="H351">
        <v>6306</v>
      </c>
      <c r="I351">
        <v>2949694.56</v>
      </c>
      <c r="J351">
        <v>5825.6</v>
      </c>
      <c r="K351" t="s">
        <v>529</v>
      </c>
      <c r="L351" s="9" t="s">
        <v>530</v>
      </c>
      <c r="M351" t="s">
        <v>50</v>
      </c>
      <c r="N351" s="12">
        <v>280.40882042508804</v>
      </c>
      <c r="O351" s="13">
        <v>0.59947156752413211</v>
      </c>
      <c r="P351" s="9" t="s">
        <v>535</v>
      </c>
      <c r="Q351">
        <v>480.52</v>
      </c>
      <c r="R351">
        <v>480.52</v>
      </c>
      <c r="S351" t="s">
        <v>39</v>
      </c>
      <c r="T351">
        <v>748.16882042508803</v>
      </c>
      <c r="U351">
        <v>5281395.3199999994</v>
      </c>
      <c r="V351">
        <v>8223123.5052921427</v>
      </c>
      <c r="W351" t="s">
        <v>30</v>
      </c>
      <c r="X351" t="s">
        <v>531</v>
      </c>
      <c r="Y351" t="s">
        <v>536</v>
      </c>
      <c r="Z351" t="b">
        <v>0</v>
      </c>
      <c r="AA351" t="s">
        <v>44</v>
      </c>
      <c r="AB351" t="s">
        <v>36</v>
      </c>
      <c r="AC351" t="s">
        <v>434</v>
      </c>
    </row>
    <row r="352" spans="2:29" x14ac:dyDescent="0.35">
      <c r="B352" t="s">
        <v>537</v>
      </c>
      <c r="C352">
        <v>558.76</v>
      </c>
      <c r="D352" t="s">
        <v>179</v>
      </c>
      <c r="E352" s="10">
        <v>558.76</v>
      </c>
      <c r="F352" t="s">
        <v>30</v>
      </c>
      <c r="G352" s="14">
        <v>46054</v>
      </c>
      <c r="H352">
        <v>17231</v>
      </c>
      <c r="I352">
        <v>9627993.5600000005</v>
      </c>
      <c r="J352">
        <v>1502.25</v>
      </c>
      <c r="K352" t="s">
        <v>529</v>
      </c>
      <c r="L352" s="9" t="s">
        <v>530</v>
      </c>
      <c r="M352" t="s">
        <v>50</v>
      </c>
      <c r="N352" s="12">
        <v>895.18057729366387</v>
      </c>
      <c r="O352" s="13">
        <v>1.602084217362846</v>
      </c>
      <c r="P352" s="9" t="s">
        <v>537</v>
      </c>
      <c r="Q352">
        <v>933.81</v>
      </c>
      <c r="R352">
        <v>933.81</v>
      </c>
      <c r="S352" t="s">
        <v>39</v>
      </c>
      <c r="T352">
        <v>1453.9405772936639</v>
      </c>
      <c r="U352">
        <v>3873443.88</v>
      </c>
      <c r="V352">
        <v>6030945.5146141173</v>
      </c>
      <c r="W352" t="s">
        <v>30</v>
      </c>
      <c r="X352" t="s">
        <v>531</v>
      </c>
      <c r="Y352" t="s">
        <v>538</v>
      </c>
      <c r="Z352" t="b">
        <v>0</v>
      </c>
      <c r="AA352" t="s">
        <v>44</v>
      </c>
      <c r="AB352" t="s">
        <v>36</v>
      </c>
      <c r="AC352" t="s">
        <v>434</v>
      </c>
    </row>
    <row r="353" spans="2:29" x14ac:dyDescent="0.35">
      <c r="B353" t="s">
        <v>539</v>
      </c>
      <c r="C353">
        <v>394.97</v>
      </c>
      <c r="D353" t="s">
        <v>179</v>
      </c>
      <c r="E353" s="10">
        <v>394.97</v>
      </c>
      <c r="F353" t="s">
        <v>30</v>
      </c>
      <c r="G353" s="14">
        <v>46054</v>
      </c>
      <c r="H353">
        <v>1079</v>
      </c>
      <c r="I353">
        <v>426172.63</v>
      </c>
      <c r="J353">
        <v>1670.2</v>
      </c>
      <c r="K353" t="s">
        <v>529</v>
      </c>
      <c r="L353" s="9" t="s">
        <v>530</v>
      </c>
      <c r="M353" t="s">
        <v>50</v>
      </c>
      <c r="N353" s="12">
        <v>142.97291071519999</v>
      </c>
      <c r="O353" s="13">
        <v>0.36198422846089573</v>
      </c>
      <c r="P353" s="9" t="s">
        <v>539</v>
      </c>
      <c r="Q353">
        <v>345.5</v>
      </c>
      <c r="R353">
        <v>345.5</v>
      </c>
      <c r="S353" t="s">
        <v>39</v>
      </c>
      <c r="T353">
        <v>537.94291071520001</v>
      </c>
      <c r="U353">
        <v>1592064</v>
      </c>
      <c r="V353">
        <v>2478840.9325756417</v>
      </c>
      <c r="W353" t="s">
        <v>30</v>
      </c>
      <c r="X353" t="s">
        <v>531</v>
      </c>
      <c r="Y353" t="s">
        <v>540</v>
      </c>
      <c r="Z353" t="b">
        <v>0</v>
      </c>
      <c r="AA353" t="s">
        <v>44</v>
      </c>
      <c r="AB353" t="s">
        <v>36</v>
      </c>
      <c r="AC353" t="s">
        <v>288</v>
      </c>
    </row>
    <row r="354" spans="2:29" x14ac:dyDescent="0.35">
      <c r="B354" t="s">
        <v>541</v>
      </c>
      <c r="C354">
        <v>945.69</v>
      </c>
      <c r="D354" t="s">
        <v>179</v>
      </c>
      <c r="E354" s="10">
        <v>945.69</v>
      </c>
      <c r="F354" t="s">
        <v>30</v>
      </c>
      <c r="G354" s="14">
        <v>46054</v>
      </c>
      <c r="H354">
        <v>9307</v>
      </c>
      <c r="I354">
        <v>8801536.8300000001</v>
      </c>
      <c r="J354">
        <v>15947.19</v>
      </c>
      <c r="K354" t="s">
        <v>529</v>
      </c>
      <c r="L354" s="9" t="s">
        <v>530</v>
      </c>
      <c r="M354" t="s">
        <v>50</v>
      </c>
      <c r="N354" s="12">
        <v>753.68097033459208</v>
      </c>
      <c r="O354" s="13">
        <v>0.79696409006608093</v>
      </c>
      <c r="P354" s="9" t="s">
        <v>541</v>
      </c>
      <c r="Q354">
        <v>123.32</v>
      </c>
      <c r="R354">
        <v>123.32</v>
      </c>
      <c r="S354" t="s">
        <v>39</v>
      </c>
      <c r="T354">
        <v>192.00902966540801</v>
      </c>
      <c r="U354">
        <v>645456.88</v>
      </c>
      <c r="V354">
        <v>1004975.2612687455</v>
      </c>
      <c r="W354" t="s">
        <v>30</v>
      </c>
      <c r="X354" t="s">
        <v>531</v>
      </c>
      <c r="Y354" t="s">
        <v>532</v>
      </c>
      <c r="Z354" t="b">
        <v>0</v>
      </c>
      <c r="AA354" t="s">
        <v>44</v>
      </c>
      <c r="AB354" t="s">
        <v>36</v>
      </c>
      <c r="AC354" t="s">
        <v>434</v>
      </c>
    </row>
    <row r="355" spans="2:29" x14ac:dyDescent="0.35">
      <c r="B355" t="s">
        <v>542</v>
      </c>
      <c r="C355">
        <v>85.31</v>
      </c>
      <c r="D355" t="s">
        <v>179</v>
      </c>
      <c r="E355" s="10">
        <v>85.31</v>
      </c>
      <c r="F355" t="s">
        <v>30</v>
      </c>
      <c r="G355" s="14">
        <v>46054</v>
      </c>
      <c r="H355">
        <v>9365</v>
      </c>
      <c r="I355">
        <v>798928.15</v>
      </c>
      <c r="J355">
        <v>17646</v>
      </c>
      <c r="K355" t="s">
        <v>529</v>
      </c>
      <c r="L355" s="9" t="s">
        <v>530</v>
      </c>
      <c r="M355" t="s">
        <v>50</v>
      </c>
      <c r="N355" s="12">
        <v>1142.1651753731842</v>
      </c>
      <c r="O355" s="13">
        <v>13.388409042001925</v>
      </c>
      <c r="P355" s="9" t="s">
        <v>542</v>
      </c>
      <c r="Q355">
        <v>788.36</v>
      </c>
      <c r="R355">
        <v>788.36</v>
      </c>
      <c r="S355" t="s">
        <v>39</v>
      </c>
      <c r="T355">
        <v>1227.4751753731841</v>
      </c>
      <c r="U355">
        <v>11288526.84</v>
      </c>
      <c r="V355">
        <v>17576217.036168624</v>
      </c>
      <c r="W355" t="s">
        <v>30</v>
      </c>
      <c r="X355" t="s">
        <v>531</v>
      </c>
      <c r="Y355" t="s">
        <v>532</v>
      </c>
      <c r="Z355" t="b">
        <v>0</v>
      </c>
      <c r="AA355" t="s">
        <v>44</v>
      </c>
      <c r="AB355" t="s">
        <v>36</v>
      </c>
      <c r="AC355" t="s">
        <v>434</v>
      </c>
    </row>
    <row r="356" spans="2:29" x14ac:dyDescent="0.35">
      <c r="B356" t="s">
        <v>543</v>
      </c>
      <c r="C356">
        <v>206.79</v>
      </c>
      <c r="D356" t="s">
        <v>179</v>
      </c>
      <c r="E356" s="10">
        <v>206.79</v>
      </c>
      <c r="F356" t="s">
        <v>30</v>
      </c>
      <c r="G356" s="14">
        <v>46054</v>
      </c>
      <c r="H356">
        <v>2724</v>
      </c>
      <c r="I356">
        <v>563295.96</v>
      </c>
      <c r="J356">
        <v>39527.040000000001</v>
      </c>
      <c r="K356" t="s">
        <v>529</v>
      </c>
      <c r="L356" s="9" t="s">
        <v>530</v>
      </c>
      <c r="M356" t="s">
        <v>50</v>
      </c>
      <c r="N356" s="12">
        <v>1282.7591282865919</v>
      </c>
      <c r="O356" s="13">
        <v>6.2031970998916384</v>
      </c>
      <c r="P356" s="9" t="s">
        <v>543</v>
      </c>
      <c r="Q356">
        <v>956.68</v>
      </c>
      <c r="R356">
        <v>956.68</v>
      </c>
      <c r="S356" t="s">
        <v>39</v>
      </c>
      <c r="T356">
        <v>1489.5491282865919</v>
      </c>
      <c r="U356">
        <v>18368256</v>
      </c>
      <c r="V356">
        <v>28599343.263102565</v>
      </c>
      <c r="W356" t="s">
        <v>30</v>
      </c>
      <c r="X356" t="s">
        <v>531</v>
      </c>
      <c r="Y356" t="s">
        <v>532</v>
      </c>
      <c r="Z356" t="b">
        <v>0</v>
      </c>
      <c r="AA356" t="s">
        <v>44</v>
      </c>
      <c r="AB356" t="s">
        <v>36</v>
      </c>
      <c r="AC356" t="s">
        <v>357</v>
      </c>
    </row>
    <row r="357" spans="2:29" x14ac:dyDescent="0.35">
      <c r="B357" t="s">
        <v>544</v>
      </c>
      <c r="C357">
        <v>647.30999999999995</v>
      </c>
      <c r="D357" t="s">
        <v>179</v>
      </c>
      <c r="E357" s="10">
        <v>647.30999999999995</v>
      </c>
      <c r="F357" t="s">
        <v>30</v>
      </c>
      <c r="G357" s="14">
        <v>46054</v>
      </c>
      <c r="H357">
        <v>10464</v>
      </c>
      <c r="I357">
        <v>6773451.8399999999</v>
      </c>
      <c r="J357">
        <v>21939.599999999999</v>
      </c>
      <c r="K357" t="s">
        <v>529</v>
      </c>
      <c r="L357" s="9" t="s">
        <v>530</v>
      </c>
      <c r="M357" t="s">
        <v>50</v>
      </c>
      <c r="N357" s="12">
        <v>285.77499604031993</v>
      </c>
      <c r="O357" s="13">
        <v>0.4414808917525142</v>
      </c>
      <c r="P357" s="9" t="s">
        <v>544</v>
      </c>
      <c r="Q357">
        <v>232.2</v>
      </c>
      <c r="R357">
        <v>232.2</v>
      </c>
      <c r="S357" t="s">
        <v>39</v>
      </c>
      <c r="T357">
        <v>361.53500395968001</v>
      </c>
      <c r="U357">
        <v>211998.59999999998</v>
      </c>
      <c r="V357">
        <v>330081.45861518785</v>
      </c>
      <c r="W357" t="s">
        <v>30</v>
      </c>
      <c r="X357" t="s">
        <v>531</v>
      </c>
      <c r="Y357" t="s">
        <v>532</v>
      </c>
      <c r="Z357" t="b">
        <v>0</v>
      </c>
      <c r="AA357" t="s">
        <v>44</v>
      </c>
      <c r="AB357" t="s">
        <v>36</v>
      </c>
      <c r="AC357" t="s">
        <v>357</v>
      </c>
    </row>
    <row r="358" spans="2:29" x14ac:dyDescent="0.35">
      <c r="B358" t="s">
        <v>473</v>
      </c>
      <c r="C358">
        <v>791.22</v>
      </c>
      <c r="D358" t="s">
        <v>39</v>
      </c>
      <c r="E358" s="10">
        <v>1231.9281904951681</v>
      </c>
      <c r="F358" t="s">
        <v>30</v>
      </c>
      <c r="G358" s="14">
        <v>46054</v>
      </c>
      <c r="H358">
        <v>2503</v>
      </c>
      <c r="I358">
        <v>1980423.6600000001</v>
      </c>
      <c r="J358">
        <v>1257.0892829326699</v>
      </c>
      <c r="K358" t="s">
        <v>474</v>
      </c>
      <c r="L358" s="9" t="s">
        <v>475</v>
      </c>
      <c r="M358" t="s">
        <v>50</v>
      </c>
      <c r="N358" s="12">
        <v>543.51696460915207</v>
      </c>
      <c r="O358" s="13">
        <v>0.44119208311215591</v>
      </c>
      <c r="P358" s="9" t="s">
        <v>473</v>
      </c>
      <c r="Q358">
        <v>442.14</v>
      </c>
      <c r="R358">
        <v>0.44213999999999998</v>
      </c>
      <c r="S358" t="s">
        <v>39</v>
      </c>
      <c r="T358">
        <v>688.41122588601604</v>
      </c>
      <c r="U358">
        <v>7627799.2799999993</v>
      </c>
      <c r="V358">
        <v>11876470.468985548</v>
      </c>
      <c r="W358" t="s">
        <v>352</v>
      </c>
      <c r="X358" t="s">
        <v>476</v>
      </c>
      <c r="Y358" t="s">
        <v>477</v>
      </c>
      <c r="Z358" t="b">
        <v>0</v>
      </c>
      <c r="AA358" t="s">
        <v>44</v>
      </c>
      <c r="AB358" t="s">
        <v>45</v>
      </c>
      <c r="AC358" t="s">
        <v>434</v>
      </c>
    </row>
    <row r="359" spans="2:29" x14ac:dyDescent="0.35">
      <c r="B359" t="s">
        <v>545</v>
      </c>
      <c r="C359">
        <v>466.69</v>
      </c>
      <c r="D359" t="s">
        <v>29</v>
      </c>
      <c r="E359" s="10">
        <v>4335.9059511249998</v>
      </c>
      <c r="F359" t="s">
        <v>30</v>
      </c>
      <c r="G359" s="14">
        <v>46054</v>
      </c>
      <c r="H359">
        <v>17836</v>
      </c>
      <c r="I359">
        <v>8323882.8399999999</v>
      </c>
      <c r="J359">
        <v>2223.8369120000002</v>
      </c>
      <c r="K359" t="s">
        <v>329</v>
      </c>
      <c r="L359" s="9" t="s">
        <v>330</v>
      </c>
      <c r="M359" t="s">
        <v>50</v>
      </c>
      <c r="N359" s="12">
        <v>4040.0139952572235</v>
      </c>
      <c r="O359" s="13">
        <v>0.9317577550797651</v>
      </c>
      <c r="P359" s="9" t="s">
        <v>545</v>
      </c>
      <c r="Q359">
        <v>190.04</v>
      </c>
      <c r="R359">
        <v>190.04</v>
      </c>
      <c r="S359" t="s">
        <v>39</v>
      </c>
      <c r="T359">
        <v>295.89195586777601</v>
      </c>
      <c r="U359">
        <v>545414.79999999993</v>
      </c>
      <c r="V359">
        <v>849209.91334051709</v>
      </c>
      <c r="W359" t="s">
        <v>30</v>
      </c>
      <c r="X359" t="s">
        <v>331</v>
      </c>
      <c r="Y359" t="s">
        <v>546</v>
      </c>
      <c r="Z359" t="b">
        <v>0</v>
      </c>
      <c r="AA359" t="s">
        <v>44</v>
      </c>
      <c r="AB359" t="s">
        <v>36</v>
      </c>
      <c r="AC359" t="s">
        <v>273</v>
      </c>
    </row>
    <row r="360" spans="2:29" x14ac:dyDescent="0.35">
      <c r="B360" t="s">
        <v>547</v>
      </c>
      <c r="C360">
        <v>991.43</v>
      </c>
      <c r="D360" t="s">
        <v>29</v>
      </c>
      <c r="E360" s="10">
        <v>9211.140665375</v>
      </c>
      <c r="F360" t="s">
        <v>30</v>
      </c>
      <c r="G360" s="14">
        <v>46054</v>
      </c>
      <c r="H360">
        <v>18793</v>
      </c>
      <c r="I360">
        <v>18631943.989999998</v>
      </c>
      <c r="J360">
        <v>7088.8517874999998</v>
      </c>
      <c r="K360" t="s">
        <v>548</v>
      </c>
      <c r="L360" s="9" t="s">
        <v>549</v>
      </c>
      <c r="M360" t="s">
        <v>33</v>
      </c>
      <c r="N360" s="12">
        <v>8559.7237189639272</v>
      </c>
      <c r="O360" s="13">
        <v>0.92927944865072232</v>
      </c>
      <c r="P360" s="9" t="s">
        <v>547</v>
      </c>
      <c r="Q360">
        <v>418.38</v>
      </c>
      <c r="R360">
        <v>418.38</v>
      </c>
      <c r="S360" t="s">
        <v>39</v>
      </c>
      <c r="T360">
        <v>651.41694641107199</v>
      </c>
      <c r="U360">
        <v>5679090.1200000001</v>
      </c>
      <c r="V360">
        <v>8842333.6305838916</v>
      </c>
      <c r="W360" t="s">
        <v>30</v>
      </c>
      <c r="X360" t="s">
        <v>550</v>
      </c>
      <c r="Y360" t="s">
        <v>551</v>
      </c>
      <c r="Z360" t="b">
        <v>0</v>
      </c>
      <c r="AA360" t="s">
        <v>35</v>
      </c>
      <c r="AB360" t="s">
        <v>36</v>
      </c>
      <c r="AC360" t="s">
        <v>552</v>
      </c>
    </row>
    <row r="361" spans="2:29" x14ac:dyDescent="0.35">
      <c r="B361" t="s">
        <v>547</v>
      </c>
      <c r="C361">
        <v>955.39</v>
      </c>
      <c r="D361" t="s">
        <v>29</v>
      </c>
      <c r="E361" s="10">
        <v>8876.3015848750001</v>
      </c>
      <c r="F361" t="s">
        <v>30</v>
      </c>
      <c r="G361" s="14">
        <v>46054</v>
      </c>
      <c r="H361">
        <v>19199</v>
      </c>
      <c r="I361">
        <v>18342532.609999999</v>
      </c>
      <c r="J361">
        <v>129624.7184</v>
      </c>
      <c r="K361" t="s">
        <v>548</v>
      </c>
      <c r="L361" s="9" t="s">
        <v>549</v>
      </c>
      <c r="M361" t="s">
        <v>33</v>
      </c>
      <c r="N361" s="12">
        <v>8845.2238989187754</v>
      </c>
      <c r="O361" s="13">
        <v>0.99649880238305777</v>
      </c>
      <c r="P361" s="9" t="s">
        <v>547</v>
      </c>
      <c r="Q361">
        <v>19.96</v>
      </c>
      <c r="R361">
        <v>19.96</v>
      </c>
      <c r="S361" t="s">
        <v>39</v>
      </c>
      <c r="T361">
        <v>31.077685956224002</v>
      </c>
      <c r="U361">
        <v>206286.6</v>
      </c>
      <c r="V361">
        <v>321187.88435757504</v>
      </c>
      <c r="W361" t="s">
        <v>30</v>
      </c>
      <c r="X361" t="s">
        <v>550</v>
      </c>
      <c r="Y361" t="s">
        <v>551</v>
      </c>
      <c r="Z361" t="b">
        <v>0</v>
      </c>
      <c r="AA361" t="s">
        <v>35</v>
      </c>
      <c r="AB361" t="s">
        <v>36</v>
      </c>
      <c r="AC361" t="s">
        <v>552</v>
      </c>
    </row>
    <row r="362" spans="2:29" x14ac:dyDescent="0.35">
      <c r="B362" t="s">
        <v>553</v>
      </c>
      <c r="C362">
        <v>262.91000000000003</v>
      </c>
      <c r="D362" t="s">
        <v>29</v>
      </c>
      <c r="E362" s="10">
        <v>2442.6343688750003</v>
      </c>
      <c r="F362" t="s">
        <v>30</v>
      </c>
      <c r="G362" s="14">
        <v>46054</v>
      </c>
      <c r="H362">
        <v>11082</v>
      </c>
      <c r="I362">
        <v>2913568.62</v>
      </c>
      <c r="J362">
        <v>31867.315374999998</v>
      </c>
      <c r="K362" t="s">
        <v>548</v>
      </c>
      <c r="L362" s="9" t="s">
        <v>549</v>
      </c>
      <c r="M362" t="s">
        <v>33</v>
      </c>
      <c r="N362" s="12">
        <v>1645.5290920569203</v>
      </c>
      <c r="O362" s="13">
        <v>0.6736698349228577</v>
      </c>
      <c r="P362" s="9" t="s">
        <v>553</v>
      </c>
      <c r="Q362">
        <v>511.95</v>
      </c>
      <c r="R362">
        <v>511.95</v>
      </c>
      <c r="S362" t="s">
        <v>39</v>
      </c>
      <c r="T362">
        <v>797.10527681808003</v>
      </c>
      <c r="U362">
        <v>6007221.2999999998</v>
      </c>
      <c r="V362">
        <v>9353233.3181833513</v>
      </c>
      <c r="W362" t="s">
        <v>30</v>
      </c>
      <c r="X362" t="s">
        <v>550</v>
      </c>
      <c r="Y362" t="s">
        <v>554</v>
      </c>
      <c r="Z362" t="b">
        <v>0</v>
      </c>
      <c r="AA362" t="s">
        <v>35</v>
      </c>
      <c r="AB362" t="s">
        <v>36</v>
      </c>
      <c r="AC362" t="s">
        <v>126</v>
      </c>
    </row>
    <row r="363" spans="2:29" x14ac:dyDescent="0.35">
      <c r="B363" t="s">
        <v>553</v>
      </c>
      <c r="C363">
        <v>288.79000000000002</v>
      </c>
      <c r="D363" t="s">
        <v>29</v>
      </c>
      <c r="E363" s="10">
        <v>2683.0793023750002</v>
      </c>
      <c r="F363" t="s">
        <v>30</v>
      </c>
      <c r="G363" s="14">
        <v>46054</v>
      </c>
      <c r="H363">
        <v>8542</v>
      </c>
      <c r="I363">
        <v>2466844.1800000002</v>
      </c>
      <c r="J363">
        <v>136574.20874999999</v>
      </c>
      <c r="K363" t="s">
        <v>548</v>
      </c>
      <c r="L363" s="9" t="s">
        <v>549</v>
      </c>
      <c r="M363" t="s">
        <v>33</v>
      </c>
      <c r="N363" s="12">
        <v>2626.6536841859443</v>
      </c>
      <c r="O363" s="13">
        <v>0.97896982838371216</v>
      </c>
      <c r="P363" s="9" t="s">
        <v>553</v>
      </c>
      <c r="Q363">
        <v>36.24</v>
      </c>
      <c r="R363">
        <v>36.24</v>
      </c>
      <c r="S363" t="s">
        <v>39</v>
      </c>
      <c r="T363">
        <v>56.425618189056003</v>
      </c>
      <c r="U363">
        <v>708492</v>
      </c>
      <c r="V363">
        <v>1103120.8355960448</v>
      </c>
      <c r="W363" t="s">
        <v>30</v>
      </c>
      <c r="X363" t="s">
        <v>550</v>
      </c>
      <c r="Y363" t="s">
        <v>554</v>
      </c>
      <c r="Z363" t="b">
        <v>0</v>
      </c>
      <c r="AA363" t="s">
        <v>35</v>
      </c>
      <c r="AB363" t="s">
        <v>36</v>
      </c>
      <c r="AC363" t="s">
        <v>126</v>
      </c>
    </row>
    <row r="364" spans="2:29" x14ac:dyDescent="0.35">
      <c r="B364" t="s">
        <v>555</v>
      </c>
      <c r="C364">
        <v>361.91</v>
      </c>
      <c r="D364" t="s">
        <v>29</v>
      </c>
      <c r="E364" s="10">
        <v>3362.4198563750001</v>
      </c>
      <c r="F364" t="s">
        <v>30</v>
      </c>
      <c r="G364" s="14">
        <v>46054</v>
      </c>
      <c r="H364">
        <v>4506</v>
      </c>
      <c r="I364">
        <v>1630766.4600000002</v>
      </c>
      <c r="J364">
        <v>245276.13</v>
      </c>
      <c r="K364" t="s">
        <v>548</v>
      </c>
      <c r="L364" s="9" t="s">
        <v>549</v>
      </c>
      <c r="M364" t="s">
        <v>33</v>
      </c>
      <c r="N364" s="12">
        <v>2451.1243246456243</v>
      </c>
      <c r="O364" s="13">
        <v>0.72897628176873874</v>
      </c>
      <c r="P364" s="9" t="s">
        <v>555</v>
      </c>
      <c r="Q364">
        <v>585.29</v>
      </c>
      <c r="R364">
        <v>585.29</v>
      </c>
      <c r="S364" t="s">
        <v>39</v>
      </c>
      <c r="T364">
        <v>911.29553172937597</v>
      </c>
      <c r="U364">
        <v>2081291.2399999998</v>
      </c>
      <c r="V364">
        <v>3240566.9108296609</v>
      </c>
      <c r="W364" t="s">
        <v>30</v>
      </c>
      <c r="X364" t="s">
        <v>550</v>
      </c>
      <c r="Y364" t="s">
        <v>556</v>
      </c>
      <c r="Z364" t="b">
        <v>0</v>
      </c>
      <c r="AA364" t="s">
        <v>35</v>
      </c>
      <c r="AB364" t="s">
        <v>36</v>
      </c>
      <c r="AC364" t="s">
        <v>552</v>
      </c>
    </row>
    <row r="365" spans="2:29" x14ac:dyDescent="0.35">
      <c r="B365" t="s">
        <v>555</v>
      </c>
      <c r="C365">
        <v>33.43</v>
      </c>
      <c r="D365" t="s">
        <v>29</v>
      </c>
      <c r="E365" s="10">
        <v>310.59019037499996</v>
      </c>
      <c r="F365" t="s">
        <v>30</v>
      </c>
      <c r="G365" s="14">
        <v>46054</v>
      </c>
      <c r="H365">
        <v>16060</v>
      </c>
      <c r="I365">
        <v>536885.80000000005</v>
      </c>
      <c r="J365">
        <v>208484.71049999999</v>
      </c>
      <c r="K365" t="s">
        <v>548</v>
      </c>
      <c r="L365" s="9" t="s">
        <v>549</v>
      </c>
      <c r="M365" t="s">
        <v>33</v>
      </c>
      <c r="N365" s="12">
        <v>219.16325052783196</v>
      </c>
      <c r="O365" s="13">
        <v>0.70563481178597087</v>
      </c>
      <c r="P365" s="9" t="s">
        <v>555</v>
      </c>
      <c r="Q365">
        <v>58.72</v>
      </c>
      <c r="R365">
        <v>58.72</v>
      </c>
      <c r="S365" t="s">
        <v>39</v>
      </c>
      <c r="T365">
        <v>91.426939847168001</v>
      </c>
      <c r="U365">
        <v>95654.88</v>
      </c>
      <c r="V365">
        <v>148934.48501103668</v>
      </c>
      <c r="W365" t="s">
        <v>30</v>
      </c>
      <c r="X365" t="s">
        <v>550</v>
      </c>
      <c r="Y365" t="s">
        <v>556</v>
      </c>
      <c r="Z365" t="b">
        <v>0</v>
      </c>
      <c r="AA365" t="s">
        <v>35</v>
      </c>
      <c r="AB365" t="s">
        <v>36</v>
      </c>
      <c r="AC365" t="s">
        <v>552</v>
      </c>
    </row>
    <row r="366" spans="2:29" x14ac:dyDescent="0.35">
      <c r="B366" t="s">
        <v>557</v>
      </c>
      <c r="C366">
        <v>507.7</v>
      </c>
      <c r="D366" t="s">
        <v>29</v>
      </c>
      <c r="E366" s="10">
        <v>4716.9201212499993</v>
      </c>
      <c r="F366" t="s">
        <v>30</v>
      </c>
      <c r="G366" s="14">
        <v>46054</v>
      </c>
      <c r="H366">
        <v>7007</v>
      </c>
      <c r="I366">
        <v>3557453.9</v>
      </c>
      <c r="J366">
        <v>164632.31150000001</v>
      </c>
      <c r="K366" t="s">
        <v>558</v>
      </c>
      <c r="L366" s="9" t="s">
        <v>559</v>
      </c>
      <c r="M366" t="s">
        <v>50</v>
      </c>
      <c r="N366" s="12">
        <v>4207.3768594246549</v>
      </c>
      <c r="O366" s="13">
        <v>0.89197543127138779</v>
      </c>
      <c r="P366" s="9" t="s">
        <v>557</v>
      </c>
      <c r="Q366">
        <v>327.26</v>
      </c>
      <c r="R366">
        <v>327.26</v>
      </c>
      <c r="S366" t="s">
        <v>39</v>
      </c>
      <c r="T366">
        <v>509.54326182534402</v>
      </c>
      <c r="U366">
        <v>2863525</v>
      </c>
      <c r="V366">
        <v>4458503.5409717597</v>
      </c>
      <c r="W366" t="s">
        <v>30</v>
      </c>
      <c r="X366" t="s">
        <v>560</v>
      </c>
      <c r="Y366" t="s">
        <v>561</v>
      </c>
      <c r="Z366" t="b">
        <v>0</v>
      </c>
      <c r="AA366" t="s">
        <v>35</v>
      </c>
      <c r="AB366" t="s">
        <v>36</v>
      </c>
      <c r="AC366" t="s">
        <v>562</v>
      </c>
    </row>
    <row r="367" spans="2:29" x14ac:dyDescent="0.35">
      <c r="B367" t="s">
        <v>557</v>
      </c>
      <c r="C367">
        <v>681.35</v>
      </c>
      <c r="D367" t="s">
        <v>29</v>
      </c>
      <c r="E367" s="10">
        <v>6330.2610293750004</v>
      </c>
      <c r="F367" t="s">
        <v>30</v>
      </c>
      <c r="G367" s="14">
        <v>46054</v>
      </c>
      <c r="H367">
        <v>6263</v>
      </c>
      <c r="I367">
        <v>4267295.05</v>
      </c>
      <c r="J367">
        <v>82316.155750000005</v>
      </c>
      <c r="K367" t="s">
        <v>558</v>
      </c>
      <c r="L367" s="9" t="s">
        <v>559</v>
      </c>
      <c r="M367" t="s">
        <v>50</v>
      </c>
      <c r="N367" s="12">
        <v>5648.2646364619122</v>
      </c>
      <c r="O367" s="13">
        <v>0.89226409625948344</v>
      </c>
      <c r="P367" s="9" t="s">
        <v>557</v>
      </c>
      <c r="Q367">
        <v>438.02</v>
      </c>
      <c r="R367">
        <v>438.02</v>
      </c>
      <c r="S367" t="s">
        <v>39</v>
      </c>
      <c r="T367">
        <v>681.99639291308802</v>
      </c>
      <c r="U367">
        <v>2830923.26</v>
      </c>
      <c r="V367">
        <v>4407742.6873972882</v>
      </c>
      <c r="W367" t="s">
        <v>30</v>
      </c>
      <c r="X367" t="s">
        <v>560</v>
      </c>
      <c r="Y367" t="s">
        <v>561</v>
      </c>
      <c r="Z367" t="b">
        <v>0</v>
      </c>
      <c r="AA367" t="s">
        <v>35</v>
      </c>
      <c r="AB367" t="s">
        <v>36</v>
      </c>
      <c r="AC367" t="s">
        <v>562</v>
      </c>
    </row>
    <row r="368" spans="2:29" x14ac:dyDescent="0.35">
      <c r="B368" t="s">
        <v>557</v>
      </c>
      <c r="C368">
        <v>562.74</v>
      </c>
      <c r="D368" t="s">
        <v>29</v>
      </c>
      <c r="E368" s="10">
        <v>5228.28368925</v>
      </c>
      <c r="F368" t="s">
        <v>30</v>
      </c>
      <c r="G368" s="14">
        <v>46054</v>
      </c>
      <c r="H368">
        <v>6595</v>
      </c>
      <c r="I368">
        <v>3711270.3000000003</v>
      </c>
      <c r="J368">
        <v>82316.155750000005</v>
      </c>
      <c r="K368" t="s">
        <v>558</v>
      </c>
      <c r="L368" s="9" t="s">
        <v>559</v>
      </c>
      <c r="M368" t="s">
        <v>50</v>
      </c>
      <c r="N368" s="12">
        <v>4455.7634155004962</v>
      </c>
      <c r="O368" s="13">
        <v>0.85224208943789692</v>
      </c>
      <c r="P368" s="9" t="s">
        <v>557</v>
      </c>
      <c r="Q368">
        <v>496.16</v>
      </c>
      <c r="R368">
        <v>496.16</v>
      </c>
      <c r="S368" t="s">
        <v>39</v>
      </c>
      <c r="T368">
        <v>772.5202737495041</v>
      </c>
      <c r="U368">
        <v>597872.80000000005</v>
      </c>
      <c r="V368">
        <v>930886.92986815248</v>
      </c>
      <c r="W368" t="s">
        <v>30</v>
      </c>
      <c r="X368" t="s">
        <v>560</v>
      </c>
      <c r="Y368" t="s">
        <v>561</v>
      </c>
      <c r="Z368" t="b">
        <v>0</v>
      </c>
      <c r="AA368" t="s">
        <v>35</v>
      </c>
      <c r="AB368" t="s">
        <v>36</v>
      </c>
      <c r="AC368" t="s">
        <v>562</v>
      </c>
    </row>
    <row r="369" spans="2:29" x14ac:dyDescent="0.35">
      <c r="B369" t="s">
        <v>563</v>
      </c>
      <c r="C369">
        <v>471.39</v>
      </c>
      <c r="D369" t="s">
        <v>39</v>
      </c>
      <c r="E369" s="10">
        <v>733.95342599721596</v>
      </c>
      <c r="F369" t="s">
        <v>30</v>
      </c>
      <c r="G369" s="14">
        <v>46054</v>
      </c>
      <c r="H369">
        <v>9373</v>
      </c>
      <c r="I369">
        <v>4418338.47</v>
      </c>
      <c r="J369">
        <v>17233.09378616</v>
      </c>
      <c r="K369" t="s">
        <v>454</v>
      </c>
      <c r="L369" s="9" t="s">
        <v>455</v>
      </c>
      <c r="M369" t="s">
        <v>50</v>
      </c>
      <c r="N369" s="12">
        <v>493.39718951241593</v>
      </c>
      <c r="O369" s="13">
        <v>0.67224591102908415</v>
      </c>
      <c r="P369" s="9" t="s">
        <v>563</v>
      </c>
      <c r="Q369">
        <v>154.5</v>
      </c>
      <c r="R369">
        <v>1.5449999999999999</v>
      </c>
      <c r="S369" t="s">
        <v>39</v>
      </c>
      <c r="T369">
        <v>240.5562364848</v>
      </c>
      <c r="U369">
        <v>89610</v>
      </c>
      <c r="V369">
        <v>139522.617161184</v>
      </c>
      <c r="W369" t="s">
        <v>249</v>
      </c>
      <c r="X369" t="s">
        <v>317</v>
      </c>
      <c r="Y369" t="s">
        <v>564</v>
      </c>
      <c r="Z369" t="b">
        <v>0</v>
      </c>
      <c r="AA369" t="s">
        <v>565</v>
      </c>
      <c r="AB369" t="s">
        <v>45</v>
      </c>
      <c r="AC369" t="s">
        <v>251</v>
      </c>
    </row>
    <row r="370" spans="2:29" x14ac:dyDescent="0.35">
      <c r="B370" t="s">
        <v>566</v>
      </c>
      <c r="C370">
        <v>380.86</v>
      </c>
      <c r="D370" t="s">
        <v>179</v>
      </c>
      <c r="E370" s="10">
        <v>380.86</v>
      </c>
      <c r="F370" t="s">
        <v>30</v>
      </c>
      <c r="G370" s="14">
        <v>46054</v>
      </c>
      <c r="H370">
        <v>7739</v>
      </c>
      <c r="I370">
        <v>2947475.54</v>
      </c>
      <c r="J370">
        <v>136200</v>
      </c>
      <c r="K370" t="s">
        <v>567</v>
      </c>
      <c r="L370" s="9" t="s">
        <v>568</v>
      </c>
      <c r="M370" t="s">
        <v>50</v>
      </c>
      <c r="N370" s="12">
        <v>1052.6216197052481</v>
      </c>
      <c r="O370" s="13">
        <v>2.7638019737048998</v>
      </c>
      <c r="P370" s="9" t="s">
        <v>566</v>
      </c>
      <c r="Q370">
        <v>920.67</v>
      </c>
      <c r="R370">
        <v>920.67</v>
      </c>
      <c r="S370" t="s">
        <v>39</v>
      </c>
      <c r="T370">
        <v>1433.481619705248</v>
      </c>
      <c r="U370">
        <v>12728262.75</v>
      </c>
      <c r="V370">
        <v>19817883.392425053</v>
      </c>
      <c r="W370" t="s">
        <v>30</v>
      </c>
      <c r="X370" t="s">
        <v>569</v>
      </c>
      <c r="Y370" t="s">
        <v>570</v>
      </c>
      <c r="Z370" t="b">
        <v>0</v>
      </c>
      <c r="AA370" t="s">
        <v>35</v>
      </c>
      <c r="AB370" t="s">
        <v>36</v>
      </c>
      <c r="AC370" t="s">
        <v>323</v>
      </c>
    </row>
    <row r="371" spans="2:29" x14ac:dyDescent="0.35">
      <c r="B371" t="s">
        <v>571</v>
      </c>
      <c r="C371">
        <v>395.64</v>
      </c>
      <c r="D371" t="s">
        <v>179</v>
      </c>
      <c r="E371" s="10">
        <v>395.64</v>
      </c>
      <c r="F371" t="s">
        <v>30</v>
      </c>
      <c r="G371" s="14">
        <v>46054</v>
      </c>
      <c r="H371">
        <v>11780</v>
      </c>
      <c r="I371">
        <v>4660639.2</v>
      </c>
      <c r="J371">
        <v>285440</v>
      </c>
      <c r="K371" t="s">
        <v>567</v>
      </c>
      <c r="L371" s="9" t="s">
        <v>568</v>
      </c>
      <c r="M371" t="s">
        <v>50</v>
      </c>
      <c r="N371" s="12">
        <v>457.87532502419197</v>
      </c>
      <c r="O371" s="13">
        <v>1.1573029143266402</v>
      </c>
      <c r="P371" s="9" t="s">
        <v>571</v>
      </c>
      <c r="Q371">
        <v>548.17999999999995</v>
      </c>
      <c r="R371">
        <v>548.17999999999995</v>
      </c>
      <c r="S371" t="s">
        <v>39</v>
      </c>
      <c r="T371">
        <v>853.51532502419195</v>
      </c>
      <c r="U371">
        <v>7912430.1199999992</v>
      </c>
      <c r="V371">
        <v>12319640.201399187</v>
      </c>
      <c r="W371" t="s">
        <v>30</v>
      </c>
      <c r="X371" t="s">
        <v>569</v>
      </c>
      <c r="Y371" t="s">
        <v>570</v>
      </c>
      <c r="Z371" t="b">
        <v>0</v>
      </c>
      <c r="AA371" t="s">
        <v>35</v>
      </c>
      <c r="AB371" t="s">
        <v>36</v>
      </c>
      <c r="AC371" t="s">
        <v>323</v>
      </c>
    </row>
    <row r="372" spans="2:29" x14ac:dyDescent="0.35">
      <c r="B372" t="s">
        <v>572</v>
      </c>
      <c r="C372">
        <v>518.04</v>
      </c>
      <c r="D372" t="s">
        <v>179</v>
      </c>
      <c r="E372" s="10">
        <v>518.04</v>
      </c>
      <c r="F372" t="s">
        <v>30</v>
      </c>
      <c r="G372" s="14">
        <v>46054</v>
      </c>
      <c r="H372">
        <v>774</v>
      </c>
      <c r="I372">
        <v>400962.95999999996</v>
      </c>
      <c r="J372">
        <v>377761.6</v>
      </c>
      <c r="K372" t="s">
        <v>567</v>
      </c>
      <c r="L372" s="9" t="s">
        <v>568</v>
      </c>
      <c r="M372" t="s">
        <v>50</v>
      </c>
      <c r="N372" s="12">
        <v>345.11976942393596</v>
      </c>
      <c r="O372" s="13">
        <v>0.66620293688505905</v>
      </c>
      <c r="P372" s="9" t="s">
        <v>572</v>
      </c>
      <c r="Q372">
        <v>111.06</v>
      </c>
      <c r="R372">
        <v>111.06</v>
      </c>
      <c r="S372" t="s">
        <v>39</v>
      </c>
      <c r="T372">
        <v>172.920230576064</v>
      </c>
      <c r="U372">
        <v>2136572.2800000003</v>
      </c>
      <c r="V372">
        <v>3326639.3958223192</v>
      </c>
      <c r="W372" t="s">
        <v>30</v>
      </c>
      <c r="X372" t="s">
        <v>569</v>
      </c>
      <c r="Y372" t="s">
        <v>570</v>
      </c>
      <c r="Z372" t="b">
        <v>0</v>
      </c>
      <c r="AA372" t="s">
        <v>35</v>
      </c>
      <c r="AB372" t="s">
        <v>36</v>
      </c>
      <c r="AC372" t="s">
        <v>323</v>
      </c>
    </row>
    <row r="373" spans="2:29" x14ac:dyDescent="0.35">
      <c r="B373" t="s">
        <v>573</v>
      </c>
      <c r="C373">
        <v>505.5</v>
      </c>
      <c r="D373" t="s">
        <v>179</v>
      </c>
      <c r="E373" s="10">
        <v>505.5</v>
      </c>
      <c r="F373" t="s">
        <v>30</v>
      </c>
      <c r="G373" s="14">
        <v>46054</v>
      </c>
      <c r="H373">
        <v>12543</v>
      </c>
      <c r="I373">
        <v>6340486.5</v>
      </c>
      <c r="J373">
        <v>135480</v>
      </c>
      <c r="K373" t="s">
        <v>567</v>
      </c>
      <c r="L373" s="9" t="s">
        <v>568</v>
      </c>
      <c r="M373" t="s">
        <v>50</v>
      </c>
      <c r="N373" s="12">
        <v>727.03541982998399</v>
      </c>
      <c r="O373" s="13">
        <v>1.4382500886844392</v>
      </c>
      <c r="P373" s="9" t="s">
        <v>573</v>
      </c>
      <c r="Q373">
        <v>791.61</v>
      </c>
      <c r="R373">
        <v>791.61</v>
      </c>
      <c r="S373" t="s">
        <v>39</v>
      </c>
      <c r="T373">
        <v>1232.535419829984</v>
      </c>
      <c r="U373">
        <v>10816559.040000001</v>
      </c>
      <c r="V373">
        <v>16841363.976556901</v>
      </c>
      <c r="W373" t="s">
        <v>30</v>
      </c>
      <c r="X373" t="s">
        <v>569</v>
      </c>
      <c r="Y373" t="s">
        <v>570</v>
      </c>
      <c r="Z373" t="b">
        <v>0</v>
      </c>
      <c r="AA373" t="s">
        <v>35</v>
      </c>
      <c r="AB373" t="s">
        <v>36</v>
      </c>
      <c r="AC373" t="s">
        <v>323</v>
      </c>
    </row>
    <row r="374" spans="2:29" x14ac:dyDescent="0.35">
      <c r="B374" t="s">
        <v>574</v>
      </c>
      <c r="C374">
        <v>823.08</v>
      </c>
      <c r="D374" t="s">
        <v>575</v>
      </c>
      <c r="E374" s="10">
        <v>1095.8865736800001</v>
      </c>
      <c r="F374" t="s">
        <v>30</v>
      </c>
      <c r="G374" s="14">
        <v>46054</v>
      </c>
      <c r="H374">
        <v>10179</v>
      </c>
      <c r="I374">
        <v>8378131.3200000003</v>
      </c>
      <c r="J374">
        <v>796538.74117248005</v>
      </c>
      <c r="K374" t="s">
        <v>576</v>
      </c>
      <c r="L374" s="9" t="s">
        <v>577</v>
      </c>
      <c r="M374" t="s">
        <v>50</v>
      </c>
      <c r="N374" s="12">
        <v>108.42046707251188</v>
      </c>
      <c r="O374" s="13">
        <v>9.8934022622829174E-2</v>
      </c>
      <c r="P374" s="9" t="s">
        <v>574</v>
      </c>
      <c r="Q374">
        <v>773.48</v>
      </c>
      <c r="R374">
        <v>773.48</v>
      </c>
      <c r="S374" t="s">
        <v>39</v>
      </c>
      <c r="T374">
        <v>1204.307040752512</v>
      </c>
      <c r="U374">
        <v>14532915.720000001</v>
      </c>
      <c r="V374">
        <v>22627724.988698948</v>
      </c>
      <c r="W374" t="s">
        <v>30</v>
      </c>
      <c r="X374" t="s">
        <v>578</v>
      </c>
      <c r="Y374" t="s">
        <v>579</v>
      </c>
      <c r="Z374" t="b">
        <v>0</v>
      </c>
      <c r="AA374" t="s">
        <v>35</v>
      </c>
      <c r="AB374" t="s">
        <v>36</v>
      </c>
      <c r="AC374" t="s">
        <v>580</v>
      </c>
    </row>
    <row r="375" spans="2:29" x14ac:dyDescent="0.35">
      <c r="B375" t="s">
        <v>574</v>
      </c>
      <c r="C375">
        <v>452.04</v>
      </c>
      <c r="D375" t="s">
        <v>575</v>
      </c>
      <c r="E375" s="10">
        <v>601.86684983999999</v>
      </c>
      <c r="F375" t="s">
        <v>30</v>
      </c>
      <c r="G375" s="14">
        <v>46054</v>
      </c>
      <c r="H375">
        <v>15542</v>
      </c>
      <c r="I375">
        <v>7025605.6800000006</v>
      </c>
      <c r="J375">
        <v>796537.590803136</v>
      </c>
      <c r="K375" t="s">
        <v>576</v>
      </c>
      <c r="L375" s="9" t="s">
        <v>577</v>
      </c>
      <c r="M375" t="s">
        <v>50</v>
      </c>
      <c r="N375" s="12">
        <v>518.44288122604803</v>
      </c>
      <c r="O375" s="13">
        <v>0.86139132162515786</v>
      </c>
      <c r="P375" s="9" t="s">
        <v>574</v>
      </c>
      <c r="Q375">
        <v>53.58</v>
      </c>
      <c r="R375">
        <v>53.58</v>
      </c>
      <c r="S375" t="s">
        <v>39</v>
      </c>
      <c r="T375">
        <v>83.423968613951999</v>
      </c>
      <c r="U375">
        <v>854225.94</v>
      </c>
      <c r="V375">
        <v>1330028.3316122368</v>
      </c>
      <c r="W375" t="s">
        <v>30</v>
      </c>
      <c r="X375" t="s">
        <v>578</v>
      </c>
      <c r="Y375" t="s">
        <v>579</v>
      </c>
      <c r="Z375" t="b">
        <v>0</v>
      </c>
      <c r="AA375" t="s">
        <v>35</v>
      </c>
      <c r="AB375" t="s">
        <v>36</v>
      </c>
      <c r="AC375" t="s">
        <v>580</v>
      </c>
    </row>
    <row r="376" spans="2:29" x14ac:dyDescent="0.35">
      <c r="B376" t="s">
        <v>581</v>
      </c>
      <c r="C376">
        <v>989.7</v>
      </c>
      <c r="D376" t="s">
        <v>71</v>
      </c>
      <c r="E376" s="10">
        <v>11014.66694763765</v>
      </c>
      <c r="F376" t="s">
        <v>30</v>
      </c>
      <c r="G376" s="14">
        <v>46054</v>
      </c>
      <c r="H376">
        <v>14782</v>
      </c>
      <c r="I376">
        <v>14629745.4</v>
      </c>
      <c r="J376">
        <v>30102.527190027598</v>
      </c>
      <c r="K376" t="s">
        <v>582</v>
      </c>
      <c r="L376" s="9" t="s">
        <v>583</v>
      </c>
      <c r="M376" t="s">
        <v>50</v>
      </c>
      <c r="N376" s="12">
        <v>9780.5122495814903</v>
      </c>
      <c r="O376" s="13">
        <v>0.88795351653180465</v>
      </c>
      <c r="P376" s="9" t="s">
        <v>581</v>
      </c>
      <c r="Q376">
        <v>792.65</v>
      </c>
      <c r="R376">
        <v>792.65</v>
      </c>
      <c r="S376" t="s">
        <v>39</v>
      </c>
      <c r="T376">
        <v>1234.15469805616</v>
      </c>
      <c r="U376">
        <v>9558566.3499999996</v>
      </c>
      <c r="V376">
        <v>14882671.503859233</v>
      </c>
      <c r="W376" t="s">
        <v>30</v>
      </c>
      <c r="X376" t="s">
        <v>584</v>
      </c>
      <c r="Y376" t="s">
        <v>585</v>
      </c>
      <c r="Z376" t="b">
        <v>0</v>
      </c>
      <c r="AA376" t="s">
        <v>44</v>
      </c>
      <c r="AB376" t="s">
        <v>36</v>
      </c>
      <c r="AC376" t="s">
        <v>362</v>
      </c>
    </row>
    <row r="377" spans="2:29" x14ac:dyDescent="0.35">
      <c r="B377" t="s">
        <v>581</v>
      </c>
      <c r="C377">
        <v>158.44</v>
      </c>
      <c r="D377" t="s">
        <v>71</v>
      </c>
      <c r="E377" s="10">
        <v>1763.32608990978</v>
      </c>
      <c r="F377" t="s">
        <v>30</v>
      </c>
      <c r="G377" s="14">
        <v>46054</v>
      </c>
      <c r="H377">
        <v>13595</v>
      </c>
      <c r="I377">
        <v>2153991.7999999998</v>
      </c>
      <c r="J377">
        <v>21501.805135734001</v>
      </c>
      <c r="K377" t="s">
        <v>582</v>
      </c>
      <c r="L377" s="9" t="s">
        <v>583</v>
      </c>
      <c r="M377" t="s">
        <v>50</v>
      </c>
      <c r="N377" s="12">
        <v>253.45813388126794</v>
      </c>
      <c r="O377" s="13">
        <v>0.14373866259429988</v>
      </c>
      <c r="P377" s="9" t="s">
        <v>581</v>
      </c>
      <c r="Q377">
        <v>969.73</v>
      </c>
      <c r="R377">
        <v>969.73</v>
      </c>
      <c r="S377" t="s">
        <v>39</v>
      </c>
      <c r="T377">
        <v>1509.867956028512</v>
      </c>
      <c r="U377">
        <v>951305.13</v>
      </c>
      <c r="V377">
        <v>1481180.4648639704</v>
      </c>
      <c r="W377" t="s">
        <v>30</v>
      </c>
      <c r="X377" t="s">
        <v>584</v>
      </c>
      <c r="Y377" t="s">
        <v>585</v>
      </c>
      <c r="Z377" t="b">
        <v>0</v>
      </c>
      <c r="AA377" t="s">
        <v>44</v>
      </c>
      <c r="AB377" t="s">
        <v>36</v>
      </c>
      <c r="AC377" t="s">
        <v>362</v>
      </c>
    </row>
    <row r="378" spans="2:29" x14ac:dyDescent="0.35">
      <c r="B378" t="s">
        <v>581</v>
      </c>
      <c r="C378">
        <v>541.59</v>
      </c>
      <c r="D378" t="s">
        <v>71</v>
      </c>
      <c r="E378" s="10">
        <v>6027.5168962019552</v>
      </c>
      <c r="F378" t="s">
        <v>30</v>
      </c>
      <c r="G378" s="14">
        <v>46054</v>
      </c>
      <c r="H378">
        <v>5851</v>
      </c>
      <c r="I378">
        <v>3168843.0900000003</v>
      </c>
      <c r="J378">
        <v>25802.1661628808</v>
      </c>
      <c r="K378" t="s">
        <v>582</v>
      </c>
      <c r="L378" s="9" t="s">
        <v>583</v>
      </c>
      <c r="M378" t="s">
        <v>50</v>
      </c>
      <c r="N378" s="12">
        <v>5420.9570706525474</v>
      </c>
      <c r="O378" s="13">
        <v>0.89936820817016505</v>
      </c>
      <c r="P378" s="9" t="s">
        <v>581</v>
      </c>
      <c r="Q378">
        <v>389.57</v>
      </c>
      <c r="R378">
        <v>389.57</v>
      </c>
      <c r="S378" t="s">
        <v>39</v>
      </c>
      <c r="T378">
        <v>606.55982554940806</v>
      </c>
      <c r="U378">
        <v>6811241.8799999999</v>
      </c>
      <c r="V378">
        <v>10605091.989905851</v>
      </c>
      <c r="W378" t="s">
        <v>30</v>
      </c>
      <c r="X378" t="s">
        <v>584</v>
      </c>
      <c r="Y378" t="s">
        <v>585</v>
      </c>
      <c r="Z378" t="b">
        <v>0</v>
      </c>
      <c r="AA378" t="s">
        <v>44</v>
      </c>
      <c r="AB378" t="s">
        <v>36</v>
      </c>
      <c r="AC378" t="s">
        <v>362</v>
      </c>
    </row>
    <row r="379" spans="2:29" x14ac:dyDescent="0.35">
      <c r="B379" t="s">
        <v>586</v>
      </c>
      <c r="C379">
        <v>598.74</v>
      </c>
      <c r="D379" t="s">
        <v>71</v>
      </c>
      <c r="E379" s="10">
        <v>6663.5563183071299</v>
      </c>
      <c r="F379" t="s">
        <v>30</v>
      </c>
      <c r="G379" s="14">
        <v>46054</v>
      </c>
      <c r="H379">
        <v>1432</v>
      </c>
      <c r="I379">
        <v>857395.68</v>
      </c>
      <c r="J379">
        <v>10908.493437805901</v>
      </c>
      <c r="K379" t="s">
        <v>582</v>
      </c>
      <c r="L379" s="9" t="s">
        <v>583</v>
      </c>
      <c r="M379" t="s">
        <v>50</v>
      </c>
      <c r="N379" s="12">
        <v>6187.0214203230662</v>
      </c>
      <c r="O379" s="13">
        <v>0.92848640047134368</v>
      </c>
      <c r="P379" s="9" t="s">
        <v>586</v>
      </c>
      <c r="Q379">
        <v>306.06</v>
      </c>
      <c r="R379">
        <v>306.06</v>
      </c>
      <c r="S379" t="s">
        <v>39</v>
      </c>
      <c r="T379">
        <v>476.534897984064</v>
      </c>
      <c r="U379">
        <v>2244031.92</v>
      </c>
      <c r="V379">
        <v>3493953.8720191573</v>
      </c>
      <c r="W379" t="s">
        <v>30</v>
      </c>
      <c r="X379" t="s">
        <v>584</v>
      </c>
      <c r="Y379" t="s">
        <v>587</v>
      </c>
      <c r="Z379" t="b">
        <v>0</v>
      </c>
      <c r="AA379" t="s">
        <v>44</v>
      </c>
      <c r="AB379" t="s">
        <v>36</v>
      </c>
      <c r="AC379" t="s">
        <v>362</v>
      </c>
    </row>
    <row r="380" spans="2:29" x14ac:dyDescent="0.35">
      <c r="B380" t="s">
        <v>588</v>
      </c>
      <c r="C380">
        <v>443.16</v>
      </c>
      <c r="D380" t="s">
        <v>71</v>
      </c>
      <c r="E380" s="10">
        <v>4932.0600227494206</v>
      </c>
      <c r="F380" t="s">
        <v>30</v>
      </c>
      <c r="G380" s="14">
        <v>46054</v>
      </c>
      <c r="H380">
        <v>1895</v>
      </c>
      <c r="I380">
        <v>839788.20000000007</v>
      </c>
      <c r="J380">
        <v>11178.267638887801</v>
      </c>
      <c r="K380" t="s">
        <v>582</v>
      </c>
      <c r="L380" s="9" t="s">
        <v>583</v>
      </c>
      <c r="M380" t="s">
        <v>50</v>
      </c>
      <c r="N380" s="12">
        <v>3395.4428360231168</v>
      </c>
      <c r="O380" s="13">
        <v>0.68844312931339735</v>
      </c>
      <c r="P380" s="9" t="s">
        <v>588</v>
      </c>
      <c r="Q380">
        <v>986.91</v>
      </c>
      <c r="R380">
        <v>986.91</v>
      </c>
      <c r="S380" t="s">
        <v>39</v>
      </c>
      <c r="T380">
        <v>1536.617186726304</v>
      </c>
      <c r="U380">
        <v>10115827.5</v>
      </c>
      <c r="V380">
        <v>15750326.163944617</v>
      </c>
      <c r="W380" t="s">
        <v>30</v>
      </c>
      <c r="X380" t="s">
        <v>584</v>
      </c>
      <c r="Y380" t="s">
        <v>589</v>
      </c>
      <c r="Z380" t="b">
        <v>0</v>
      </c>
      <c r="AA380" t="s">
        <v>44</v>
      </c>
      <c r="AB380" t="s">
        <v>36</v>
      </c>
      <c r="AC380" t="s">
        <v>362</v>
      </c>
    </row>
    <row r="381" spans="2:29" x14ac:dyDescent="0.35">
      <c r="B381" t="s">
        <v>588</v>
      </c>
      <c r="C381">
        <v>883.9</v>
      </c>
      <c r="D381" t="s">
        <v>71</v>
      </c>
      <c r="E381" s="10">
        <v>9837.1871425855497</v>
      </c>
      <c r="F381" t="s">
        <v>30</v>
      </c>
      <c r="G381" s="14">
        <v>46054</v>
      </c>
      <c r="H381">
        <v>553</v>
      </c>
      <c r="I381">
        <v>488796.7</v>
      </c>
      <c r="J381">
        <v>22356.535277775602</v>
      </c>
      <c r="K381" t="s">
        <v>582</v>
      </c>
      <c r="L381" s="9" t="s">
        <v>583</v>
      </c>
      <c r="M381" t="s">
        <v>50</v>
      </c>
      <c r="N381" s="12">
        <v>9283.3784192504136</v>
      </c>
      <c r="O381" s="13">
        <v>0.94370253251179115</v>
      </c>
      <c r="P381" s="9" t="s">
        <v>588</v>
      </c>
      <c r="Q381">
        <v>355.69</v>
      </c>
      <c r="R381">
        <v>355.69</v>
      </c>
      <c r="S381" t="s">
        <v>39</v>
      </c>
      <c r="T381">
        <v>553.80872333513605</v>
      </c>
      <c r="U381">
        <v>4008270.61</v>
      </c>
      <c r="V381">
        <v>6240870.5032636486</v>
      </c>
      <c r="W381" t="s">
        <v>30</v>
      </c>
      <c r="X381" t="s">
        <v>584</v>
      </c>
      <c r="Y381" t="s">
        <v>589</v>
      </c>
      <c r="Z381" t="b">
        <v>0</v>
      </c>
      <c r="AA381" t="s">
        <v>44</v>
      </c>
      <c r="AB381" t="s">
        <v>36</v>
      </c>
      <c r="AC381" t="s">
        <v>362</v>
      </c>
    </row>
    <row r="382" spans="2:29" x14ac:dyDescent="0.35">
      <c r="B382" t="s">
        <v>590</v>
      </c>
      <c r="C382">
        <v>931.86</v>
      </c>
      <c r="D382" t="s">
        <v>71</v>
      </c>
      <c r="E382" s="10">
        <v>10370.94830941257</v>
      </c>
      <c r="F382" t="s">
        <v>30</v>
      </c>
      <c r="G382" s="14">
        <v>46054</v>
      </c>
      <c r="H382">
        <v>17300</v>
      </c>
      <c r="I382">
        <v>16121178</v>
      </c>
      <c r="J382">
        <v>1552.5371720677499</v>
      </c>
      <c r="K382" t="s">
        <v>582</v>
      </c>
      <c r="L382" s="9" t="s">
        <v>583</v>
      </c>
      <c r="M382" t="s">
        <v>50</v>
      </c>
      <c r="N382" s="12">
        <v>9055.9075499623304</v>
      </c>
      <c r="O382" s="13">
        <v>0.87319956476335714</v>
      </c>
      <c r="P382" s="9" t="s">
        <v>590</v>
      </c>
      <c r="Q382">
        <v>844.6</v>
      </c>
      <c r="R382">
        <v>844.6</v>
      </c>
      <c r="S382" t="s">
        <v>39</v>
      </c>
      <c r="T382">
        <v>1315.0407594502401</v>
      </c>
      <c r="U382">
        <v>8992456.2000000011</v>
      </c>
      <c r="V382">
        <v>14001238.965866707</v>
      </c>
      <c r="W382" t="s">
        <v>30</v>
      </c>
      <c r="X382" t="s">
        <v>584</v>
      </c>
      <c r="Y382" t="s">
        <v>591</v>
      </c>
      <c r="Z382" t="b">
        <v>0</v>
      </c>
      <c r="AA382" t="s">
        <v>44</v>
      </c>
      <c r="AB382" t="s">
        <v>36</v>
      </c>
      <c r="AC382" t="s">
        <v>362</v>
      </c>
    </row>
    <row r="383" spans="2:29" x14ac:dyDescent="0.35">
      <c r="B383" t="s">
        <v>592</v>
      </c>
      <c r="C383">
        <v>689.16</v>
      </c>
      <c r="D383" t="s">
        <v>71</v>
      </c>
      <c r="E383" s="10">
        <v>7669.8675089764192</v>
      </c>
      <c r="F383" t="s">
        <v>30</v>
      </c>
      <c r="G383" s="14">
        <v>46054</v>
      </c>
      <c r="H383">
        <v>13086</v>
      </c>
      <c r="I383">
        <v>9018347.7599999998</v>
      </c>
      <c r="J383">
        <v>12246.680316439801</v>
      </c>
      <c r="K383" t="s">
        <v>582</v>
      </c>
      <c r="L383" s="9" t="s">
        <v>583</v>
      </c>
      <c r="M383" t="s">
        <v>50</v>
      </c>
      <c r="N383" s="12">
        <v>6244.4044304873314</v>
      </c>
      <c r="O383" s="13">
        <v>0.81414762682395769</v>
      </c>
      <c r="P383" s="9" t="s">
        <v>592</v>
      </c>
      <c r="Q383">
        <v>915.52</v>
      </c>
      <c r="R383">
        <v>915.52</v>
      </c>
      <c r="S383" t="s">
        <v>39</v>
      </c>
      <c r="T383">
        <v>1425.463078489088</v>
      </c>
      <c r="U383">
        <v>15113404.16</v>
      </c>
      <c r="V383">
        <v>23531544.499697864</v>
      </c>
      <c r="W383" t="s">
        <v>30</v>
      </c>
      <c r="X383" t="s">
        <v>584</v>
      </c>
      <c r="Y383" t="s">
        <v>593</v>
      </c>
      <c r="Z383" t="b">
        <v>0</v>
      </c>
      <c r="AA383" t="s">
        <v>44</v>
      </c>
      <c r="AB383" t="s">
        <v>36</v>
      </c>
      <c r="AC383" t="s">
        <v>362</v>
      </c>
    </row>
    <row r="384" spans="2:29" x14ac:dyDescent="0.35">
      <c r="B384" t="s">
        <v>592</v>
      </c>
      <c r="C384">
        <v>735.47</v>
      </c>
      <c r="D384" t="s">
        <v>71</v>
      </c>
      <c r="E384" s="10">
        <v>8185.2653329080149</v>
      </c>
      <c r="F384" t="s">
        <v>30</v>
      </c>
      <c r="G384" s="14">
        <v>46054</v>
      </c>
      <c r="H384">
        <v>15817</v>
      </c>
      <c r="I384">
        <v>11632928.99</v>
      </c>
      <c r="J384">
        <v>30616.700791099502</v>
      </c>
      <c r="K384" t="s">
        <v>582</v>
      </c>
      <c r="L384" s="9" t="s">
        <v>583</v>
      </c>
      <c r="M384" t="s">
        <v>50</v>
      </c>
      <c r="N384" s="12">
        <v>7936.5504253605586</v>
      </c>
      <c r="O384" s="13">
        <v>0.96961431335065906</v>
      </c>
      <c r="P384" s="9" t="s">
        <v>592</v>
      </c>
      <c r="Q384">
        <v>159.74</v>
      </c>
      <c r="R384">
        <v>159.74</v>
      </c>
      <c r="S384" t="s">
        <v>39</v>
      </c>
      <c r="T384">
        <v>248.71490754745602</v>
      </c>
      <c r="U384">
        <v>2035566.82</v>
      </c>
      <c r="V384">
        <v>3169374.0668772319</v>
      </c>
      <c r="W384" t="s">
        <v>30</v>
      </c>
      <c r="X384" t="s">
        <v>584</v>
      </c>
      <c r="Y384" t="s">
        <v>593</v>
      </c>
      <c r="Z384" t="b">
        <v>0</v>
      </c>
      <c r="AA384" t="s">
        <v>44</v>
      </c>
      <c r="AB384" t="s">
        <v>36</v>
      </c>
      <c r="AC384" t="s">
        <v>362</v>
      </c>
    </row>
    <row r="385" spans="2:29" x14ac:dyDescent="0.35">
      <c r="B385" t="s">
        <v>594</v>
      </c>
      <c r="C385">
        <v>634.45000000000005</v>
      </c>
      <c r="D385" t="s">
        <v>575</v>
      </c>
      <c r="E385" s="10">
        <v>844.73591469999997</v>
      </c>
      <c r="F385" t="s">
        <v>30</v>
      </c>
      <c r="G385" s="14">
        <v>46054</v>
      </c>
      <c r="H385">
        <v>18692</v>
      </c>
      <c r="I385">
        <v>11859139.4</v>
      </c>
      <c r="J385">
        <v>38047.400895999999</v>
      </c>
      <c r="K385" t="s">
        <v>595</v>
      </c>
      <c r="L385" s="9" t="s">
        <v>596</v>
      </c>
      <c r="M385" t="s">
        <v>33</v>
      </c>
      <c r="N385" s="12">
        <v>708.32317401516821</v>
      </c>
      <c r="O385" s="13">
        <v>0.83851433529580965</v>
      </c>
      <c r="P385" s="9" t="s">
        <v>594</v>
      </c>
      <c r="Q385">
        <v>997.47</v>
      </c>
      <c r="R385">
        <v>997.47</v>
      </c>
      <c r="S385" t="s">
        <v>39</v>
      </c>
      <c r="T385">
        <v>1553.0590887151682</v>
      </c>
      <c r="U385">
        <v>3929034.33</v>
      </c>
      <c r="V385">
        <v>6117499.7504490474</v>
      </c>
      <c r="W385" t="s">
        <v>30</v>
      </c>
      <c r="X385" t="s">
        <v>597</v>
      </c>
      <c r="Y385" t="s">
        <v>598</v>
      </c>
      <c r="Z385" t="b">
        <v>0</v>
      </c>
      <c r="AB385" t="s">
        <v>36</v>
      </c>
      <c r="AC385" t="s">
        <v>288</v>
      </c>
    </row>
    <row r="386" spans="2:29" x14ac:dyDescent="0.35">
      <c r="B386" t="s">
        <v>599</v>
      </c>
      <c r="C386">
        <v>345.62</v>
      </c>
      <c r="D386" t="s">
        <v>71</v>
      </c>
      <c r="E386" s="10">
        <v>3846.50822516169</v>
      </c>
      <c r="F386" t="s">
        <v>30</v>
      </c>
      <c r="G386" s="14">
        <v>46054</v>
      </c>
      <c r="H386">
        <v>8392</v>
      </c>
      <c r="I386">
        <v>2900443.04</v>
      </c>
      <c r="J386">
        <v>160804.121066658</v>
      </c>
      <c r="K386" t="s">
        <v>600</v>
      </c>
      <c r="L386" s="9" t="s">
        <v>601</v>
      </c>
      <c r="M386" t="s">
        <v>33</v>
      </c>
      <c r="N386" s="12">
        <v>3098.2304148559942</v>
      </c>
      <c r="O386" s="13">
        <v>0.80546569342790331</v>
      </c>
      <c r="P386" s="9" t="s">
        <v>599</v>
      </c>
      <c r="Q386">
        <v>480.59</v>
      </c>
      <c r="R386">
        <v>480.59</v>
      </c>
      <c r="S386" t="s">
        <v>39</v>
      </c>
      <c r="T386">
        <v>748.27781030569599</v>
      </c>
      <c r="U386">
        <v>8914944.5</v>
      </c>
      <c r="V386">
        <v>13880553.38117066</v>
      </c>
      <c r="W386" t="s">
        <v>30</v>
      </c>
      <c r="X386" t="s">
        <v>602</v>
      </c>
      <c r="Y386" t="s">
        <v>121</v>
      </c>
      <c r="Z386" t="b">
        <v>0</v>
      </c>
      <c r="AA386" t="s">
        <v>35</v>
      </c>
      <c r="AB386" t="s">
        <v>36</v>
      </c>
      <c r="AC386" t="s">
        <v>122</v>
      </c>
    </row>
    <row r="387" spans="2:29" x14ac:dyDescent="0.35">
      <c r="B387" t="s">
        <v>599</v>
      </c>
      <c r="C387">
        <v>708.7</v>
      </c>
      <c r="D387" t="s">
        <v>71</v>
      </c>
      <c r="E387" s="10">
        <v>7887.33400605315</v>
      </c>
      <c r="F387" t="s">
        <v>30</v>
      </c>
      <c r="G387" s="14">
        <v>46054</v>
      </c>
      <c r="H387">
        <v>13720</v>
      </c>
      <c r="I387">
        <v>9723364</v>
      </c>
      <c r="J387">
        <v>46104.678068062698</v>
      </c>
      <c r="K387" t="s">
        <v>600</v>
      </c>
      <c r="L387" s="9" t="s">
        <v>601</v>
      </c>
      <c r="M387" t="s">
        <v>33</v>
      </c>
      <c r="N387" s="12">
        <v>7455.8274987431341</v>
      </c>
      <c r="O387" s="13">
        <v>0.94529120904746078</v>
      </c>
      <c r="P387" s="9" t="s">
        <v>599</v>
      </c>
      <c r="Q387">
        <v>277.14</v>
      </c>
      <c r="R387">
        <v>277.14</v>
      </c>
      <c r="S387" t="s">
        <v>39</v>
      </c>
      <c r="T387">
        <v>431.50650731001599</v>
      </c>
      <c r="U387">
        <v>3400230.6599999997</v>
      </c>
      <c r="V387">
        <v>5294153.3381865863</v>
      </c>
      <c r="W387" t="s">
        <v>30</v>
      </c>
      <c r="X387" t="s">
        <v>602</v>
      </c>
      <c r="Y387" t="s">
        <v>121</v>
      </c>
      <c r="Z387" t="b">
        <v>0</v>
      </c>
      <c r="AA387" t="s">
        <v>35</v>
      </c>
      <c r="AB387" t="s">
        <v>36</v>
      </c>
      <c r="AC387" t="s">
        <v>122</v>
      </c>
    </row>
    <row r="388" spans="2:29" x14ac:dyDescent="0.35">
      <c r="B388" t="s">
        <v>599</v>
      </c>
      <c r="C388">
        <v>992.81</v>
      </c>
      <c r="D388" t="s">
        <v>71</v>
      </c>
      <c r="E388" s="10">
        <v>11049.279066670844</v>
      </c>
      <c r="F388" t="s">
        <v>30</v>
      </c>
      <c r="G388" s="14">
        <v>46054</v>
      </c>
      <c r="H388">
        <v>1693</v>
      </c>
      <c r="I388">
        <v>1680827.3299999998</v>
      </c>
      <c r="J388">
        <v>28112.608578087002</v>
      </c>
      <c r="K388" t="s">
        <v>600</v>
      </c>
      <c r="L388" s="9" t="s">
        <v>601</v>
      </c>
      <c r="M388" t="s">
        <v>33</v>
      </c>
      <c r="N388" s="12">
        <v>9715.3519179095329</v>
      </c>
      <c r="O388" s="13">
        <v>0.87927473451322424</v>
      </c>
      <c r="P388" s="9" t="s">
        <v>599</v>
      </c>
      <c r="Q388">
        <v>856.73</v>
      </c>
      <c r="R388">
        <v>856.73</v>
      </c>
      <c r="S388" t="s">
        <v>39</v>
      </c>
      <c r="T388">
        <v>1333.9271487613121</v>
      </c>
      <c r="U388">
        <v>7564069.1699999999</v>
      </c>
      <c r="V388">
        <v>11777242.796413625</v>
      </c>
      <c r="W388" t="s">
        <v>30</v>
      </c>
      <c r="X388" t="s">
        <v>602</v>
      </c>
      <c r="Y388" t="s">
        <v>121</v>
      </c>
      <c r="Z388" t="b">
        <v>0</v>
      </c>
      <c r="AA388" t="s">
        <v>35</v>
      </c>
      <c r="AB388" t="s">
        <v>36</v>
      </c>
      <c r="AC388" t="s">
        <v>122</v>
      </c>
    </row>
    <row r="389" spans="2:29" x14ac:dyDescent="0.35">
      <c r="B389" t="s">
        <v>603</v>
      </c>
      <c r="C389">
        <v>50.9</v>
      </c>
      <c r="D389" t="s">
        <v>71</v>
      </c>
      <c r="E389" s="10">
        <v>566.48130507705002</v>
      </c>
      <c r="F389" t="s">
        <v>30</v>
      </c>
      <c r="G389" s="14">
        <v>46054</v>
      </c>
      <c r="H389">
        <v>11605</v>
      </c>
      <c r="I389">
        <v>590694.5</v>
      </c>
      <c r="J389">
        <v>356967.35969689902</v>
      </c>
      <c r="K389" t="s">
        <v>600</v>
      </c>
      <c r="L389" s="9" t="s">
        <v>601</v>
      </c>
      <c r="M389" t="s">
        <v>33</v>
      </c>
      <c r="N389" s="12">
        <v>475.67993329664603</v>
      </c>
      <c r="O389" s="13">
        <v>0.83970985279372345</v>
      </c>
      <c r="P389" s="9" t="s">
        <v>603</v>
      </c>
      <c r="Q389">
        <v>669.34</v>
      </c>
      <c r="R389">
        <v>669.34</v>
      </c>
      <c r="S389" t="s">
        <v>39</v>
      </c>
      <c r="T389">
        <v>1042.1612383736961</v>
      </c>
      <c r="U389">
        <v>11959767.120000001</v>
      </c>
      <c r="V389">
        <v>18621337.007261202</v>
      </c>
      <c r="W389" t="s">
        <v>30</v>
      </c>
      <c r="X389" t="s">
        <v>602</v>
      </c>
      <c r="Y389" t="s">
        <v>121</v>
      </c>
      <c r="Z389" t="b">
        <v>0</v>
      </c>
      <c r="AA389" t="s">
        <v>35</v>
      </c>
      <c r="AB389" t="s">
        <v>36</v>
      </c>
      <c r="AC389" t="s">
        <v>122</v>
      </c>
    </row>
    <row r="390" spans="2:29" x14ac:dyDescent="0.35">
      <c r="B390" t="s">
        <v>603</v>
      </c>
      <c r="C390">
        <v>203.31</v>
      </c>
      <c r="D390" t="s">
        <v>71</v>
      </c>
      <c r="E390" s="10">
        <v>2262.6977236780949</v>
      </c>
      <c r="F390" t="s">
        <v>30</v>
      </c>
      <c r="G390" s="14">
        <v>46054</v>
      </c>
      <c r="H390">
        <v>14650</v>
      </c>
      <c r="I390">
        <v>2978491.5</v>
      </c>
      <c r="J390">
        <v>344572.65970742301</v>
      </c>
      <c r="K390" t="s">
        <v>600</v>
      </c>
      <c r="L390" s="9" t="s">
        <v>601</v>
      </c>
      <c r="M390" t="s">
        <v>33</v>
      </c>
      <c r="N390" s="12">
        <v>2117.585482640015</v>
      </c>
      <c r="O390" s="13">
        <v>0.93586759754979787</v>
      </c>
      <c r="P390" s="9" t="s">
        <v>603</v>
      </c>
      <c r="Q390">
        <v>93.2</v>
      </c>
      <c r="R390">
        <v>93.2</v>
      </c>
      <c r="S390" t="s">
        <v>39</v>
      </c>
      <c r="T390">
        <v>145.11224103808001</v>
      </c>
      <c r="U390">
        <v>661254</v>
      </c>
      <c r="V390">
        <v>1029571.3501651777</v>
      </c>
      <c r="W390" t="s">
        <v>30</v>
      </c>
      <c r="X390" t="s">
        <v>602</v>
      </c>
      <c r="Y390" t="s">
        <v>121</v>
      </c>
      <c r="Z390" t="b">
        <v>0</v>
      </c>
      <c r="AA390" t="s">
        <v>35</v>
      </c>
      <c r="AB390" t="s">
        <v>36</v>
      </c>
      <c r="AC390" t="s">
        <v>122</v>
      </c>
    </row>
    <row r="391" spans="2:29" x14ac:dyDescent="0.35">
      <c r="B391" t="s">
        <v>603</v>
      </c>
      <c r="C391">
        <v>842.3</v>
      </c>
      <c r="D391" t="s">
        <v>71</v>
      </c>
      <c r="E391" s="10">
        <v>9374.2083156463486</v>
      </c>
      <c r="F391" t="s">
        <v>30</v>
      </c>
      <c r="G391" s="14">
        <v>46054</v>
      </c>
      <c r="H391">
        <v>338</v>
      </c>
      <c r="I391">
        <v>284697.39999999997</v>
      </c>
      <c r="J391">
        <v>267725.51977267402</v>
      </c>
      <c r="K391" t="s">
        <v>600</v>
      </c>
      <c r="L391" s="9" t="s">
        <v>601</v>
      </c>
      <c r="M391" t="s">
        <v>33</v>
      </c>
      <c r="N391" s="12">
        <v>9368.0581723834694</v>
      </c>
      <c r="O391" s="13">
        <v>0.99934392931586402</v>
      </c>
      <c r="P391" s="9" t="s">
        <v>603</v>
      </c>
      <c r="Q391">
        <v>3.95</v>
      </c>
      <c r="R391">
        <v>3.95</v>
      </c>
      <c r="S391" t="s">
        <v>39</v>
      </c>
      <c r="T391">
        <v>6.1501432628800003</v>
      </c>
      <c r="U391">
        <v>33993.700000000004</v>
      </c>
      <c r="V391">
        <v>52928.132920345284</v>
      </c>
      <c r="W391" t="s">
        <v>30</v>
      </c>
      <c r="X391" t="s">
        <v>602</v>
      </c>
      <c r="Y391" t="s">
        <v>121</v>
      </c>
      <c r="Z391" t="b">
        <v>0</v>
      </c>
      <c r="AA391" t="s">
        <v>35</v>
      </c>
      <c r="AB391" t="s">
        <v>36</v>
      </c>
      <c r="AC391" t="s">
        <v>122</v>
      </c>
    </row>
    <row r="392" spans="2:29" x14ac:dyDescent="0.35">
      <c r="B392" t="s">
        <v>603</v>
      </c>
      <c r="C392">
        <v>971.08</v>
      </c>
      <c r="D392" t="s">
        <v>71</v>
      </c>
      <c r="E392" s="10">
        <v>10807.43940538746</v>
      </c>
      <c r="F392" t="s">
        <v>30</v>
      </c>
      <c r="G392" s="14">
        <v>46054</v>
      </c>
      <c r="H392">
        <v>8978</v>
      </c>
      <c r="I392">
        <v>8718356.2400000002</v>
      </c>
      <c r="J392">
        <v>178483.67984844901</v>
      </c>
      <c r="K392" t="s">
        <v>600</v>
      </c>
      <c r="L392" s="9" t="s">
        <v>601</v>
      </c>
      <c r="M392" t="s">
        <v>33</v>
      </c>
      <c r="N392" s="12">
        <v>10328.0396305417</v>
      </c>
      <c r="O392" s="13">
        <v>0.955641687465138</v>
      </c>
      <c r="P392" s="9" t="s">
        <v>603</v>
      </c>
      <c r="Q392">
        <v>307.89999999999998</v>
      </c>
      <c r="R392">
        <v>307.89999999999998</v>
      </c>
      <c r="S392" t="s">
        <v>39</v>
      </c>
      <c r="T392">
        <v>479.39977484575996</v>
      </c>
      <c r="U392">
        <v>6045308.5999999996</v>
      </c>
      <c r="V392">
        <v>9412535.1793216504</v>
      </c>
      <c r="W392" t="s">
        <v>30</v>
      </c>
      <c r="X392" t="s">
        <v>602</v>
      </c>
      <c r="Y392" t="s">
        <v>121</v>
      </c>
      <c r="Z392" t="b">
        <v>0</v>
      </c>
      <c r="AA392" t="s">
        <v>35</v>
      </c>
      <c r="AB392" t="s">
        <v>36</v>
      </c>
      <c r="AC392" t="s">
        <v>122</v>
      </c>
    </row>
    <row r="393" spans="2:29" x14ac:dyDescent="0.35">
      <c r="B393" t="s">
        <v>603</v>
      </c>
      <c r="C393">
        <v>540.58000000000004</v>
      </c>
      <c r="D393" t="s">
        <v>71</v>
      </c>
      <c r="E393" s="10">
        <v>6016.2763044902104</v>
      </c>
      <c r="F393" t="s">
        <v>30</v>
      </c>
      <c r="G393" s="14">
        <v>46054</v>
      </c>
      <c r="H393">
        <v>2394</v>
      </c>
      <c r="I393">
        <v>1294148.52</v>
      </c>
      <c r="J393">
        <v>178483.67984844901</v>
      </c>
      <c r="K393" t="s">
        <v>600</v>
      </c>
      <c r="L393" s="9" t="s">
        <v>601</v>
      </c>
      <c r="M393" t="s">
        <v>33</v>
      </c>
      <c r="N393" s="12">
        <v>5948.3444689055386</v>
      </c>
      <c r="O393" s="13">
        <v>0.98870865762365812</v>
      </c>
      <c r="P393" s="9" t="s">
        <v>603</v>
      </c>
      <c r="Q393">
        <v>43.63</v>
      </c>
      <c r="R393">
        <v>43.63</v>
      </c>
      <c r="S393" t="s">
        <v>39</v>
      </c>
      <c r="T393">
        <v>67.931835584672001</v>
      </c>
      <c r="U393">
        <v>871247.47000000009</v>
      </c>
      <c r="V393">
        <v>1356530.8247903152</v>
      </c>
      <c r="W393" t="s">
        <v>30</v>
      </c>
      <c r="X393" t="s">
        <v>602</v>
      </c>
      <c r="Y393" t="s">
        <v>121</v>
      </c>
      <c r="Z393" t="b">
        <v>0</v>
      </c>
      <c r="AA393" t="s">
        <v>35</v>
      </c>
      <c r="AB393" t="s">
        <v>36</v>
      </c>
      <c r="AC393" t="s">
        <v>122</v>
      </c>
    </row>
    <row r="394" spans="2:29" x14ac:dyDescent="0.35">
      <c r="B394" t="s">
        <v>603</v>
      </c>
      <c r="C394">
        <v>143.07</v>
      </c>
      <c r="D394" t="s">
        <v>71</v>
      </c>
      <c r="E394" s="10">
        <v>1592.2687685142148</v>
      </c>
      <c r="F394" t="s">
        <v>30</v>
      </c>
      <c r="G394" s="14">
        <v>46054</v>
      </c>
      <c r="H394">
        <v>143</v>
      </c>
      <c r="I394">
        <v>20459.009999999998</v>
      </c>
      <c r="J394">
        <v>89241.839924224696</v>
      </c>
      <c r="K394" t="s">
        <v>600</v>
      </c>
      <c r="L394" s="9" t="s">
        <v>601</v>
      </c>
      <c r="M394" t="s">
        <v>33</v>
      </c>
      <c r="N394" s="12">
        <v>1525.1465720426309</v>
      </c>
      <c r="O394" s="13">
        <v>0.95784493309240915</v>
      </c>
      <c r="P394" s="9" t="s">
        <v>603</v>
      </c>
      <c r="Q394">
        <v>43.11</v>
      </c>
      <c r="R394">
        <v>43.11</v>
      </c>
      <c r="S394" t="s">
        <v>39</v>
      </c>
      <c r="T394">
        <v>67.122196471584004</v>
      </c>
      <c r="U394">
        <v>50999.13</v>
      </c>
      <c r="V394">
        <v>79405.558425883879</v>
      </c>
      <c r="W394" t="s">
        <v>30</v>
      </c>
      <c r="X394" t="s">
        <v>602</v>
      </c>
      <c r="Y394" t="s">
        <v>121</v>
      </c>
      <c r="Z394" t="b">
        <v>0</v>
      </c>
      <c r="AA394" t="s">
        <v>35</v>
      </c>
      <c r="AB394" t="s">
        <v>36</v>
      </c>
      <c r="AC394" t="s">
        <v>122</v>
      </c>
    </row>
    <row r="395" spans="2:29" x14ac:dyDescent="0.35">
      <c r="B395" t="s">
        <v>603</v>
      </c>
      <c r="C395">
        <v>907.35</v>
      </c>
      <c r="D395" t="s">
        <v>71</v>
      </c>
      <c r="E395" s="10">
        <v>10098.169197675075</v>
      </c>
      <c r="F395" t="s">
        <v>30</v>
      </c>
      <c r="G395" s="14">
        <v>46054</v>
      </c>
      <c r="H395">
        <v>9933</v>
      </c>
      <c r="I395">
        <v>9012707.5500000007</v>
      </c>
      <c r="J395">
        <v>133862.75988633701</v>
      </c>
      <c r="K395" t="s">
        <v>600</v>
      </c>
      <c r="L395" s="9" t="s">
        <v>601</v>
      </c>
      <c r="M395" t="s">
        <v>33</v>
      </c>
      <c r="N395" s="12">
        <v>9660.1855774603555</v>
      </c>
      <c r="O395" s="13">
        <v>0.95662742308620086</v>
      </c>
      <c r="P395" s="9" t="s">
        <v>603</v>
      </c>
      <c r="Q395">
        <v>281.3</v>
      </c>
      <c r="R395">
        <v>281.3</v>
      </c>
      <c r="S395" t="s">
        <v>39</v>
      </c>
      <c r="T395">
        <v>437.98362021472002</v>
      </c>
      <c r="U395">
        <v>3873782.3000000003</v>
      </c>
      <c r="V395">
        <v>6031472.4339769091</v>
      </c>
      <c r="W395" t="s">
        <v>30</v>
      </c>
      <c r="X395" t="s">
        <v>602</v>
      </c>
      <c r="Y395" t="s">
        <v>121</v>
      </c>
      <c r="Z395" t="b">
        <v>0</v>
      </c>
      <c r="AA395" t="s">
        <v>35</v>
      </c>
      <c r="AB395" t="s">
        <v>36</v>
      </c>
      <c r="AC395" t="s">
        <v>122</v>
      </c>
    </row>
    <row r="396" spans="2:29" x14ac:dyDescent="0.35">
      <c r="B396" t="s">
        <v>603</v>
      </c>
      <c r="C396">
        <v>858.66</v>
      </c>
      <c r="D396" t="s">
        <v>71</v>
      </c>
      <c r="E396" s="10">
        <v>9556.2836427791699</v>
      </c>
      <c r="F396" t="s">
        <v>30</v>
      </c>
      <c r="G396" s="14">
        <v>46054</v>
      </c>
      <c r="H396">
        <v>17918</v>
      </c>
      <c r="I396">
        <v>15385469.879999999</v>
      </c>
      <c r="J396">
        <v>44620.919962112297</v>
      </c>
      <c r="K396" t="s">
        <v>600</v>
      </c>
      <c r="L396" s="9" t="s">
        <v>601</v>
      </c>
      <c r="M396" t="s">
        <v>33</v>
      </c>
      <c r="N396" s="12">
        <v>9486.981648695426</v>
      </c>
      <c r="O396" s="13">
        <v>0.99274801830143355</v>
      </c>
      <c r="P396" s="9" t="s">
        <v>603</v>
      </c>
      <c r="Q396">
        <v>44.51</v>
      </c>
      <c r="R396">
        <v>44.51</v>
      </c>
      <c r="S396" t="s">
        <v>39</v>
      </c>
      <c r="T396">
        <v>69.301994083743992</v>
      </c>
      <c r="U396">
        <v>246585.4</v>
      </c>
      <c r="V396">
        <v>383933.04722394171</v>
      </c>
      <c r="W396" t="s">
        <v>30</v>
      </c>
      <c r="X396" t="s">
        <v>602</v>
      </c>
      <c r="Y396" t="s">
        <v>121</v>
      </c>
      <c r="Z396" t="b">
        <v>0</v>
      </c>
      <c r="AA396" t="s">
        <v>35</v>
      </c>
      <c r="AB396" t="s">
        <v>36</v>
      </c>
      <c r="AC396" t="s">
        <v>122</v>
      </c>
    </row>
    <row r="397" spans="2:29" x14ac:dyDescent="0.35">
      <c r="B397" t="s">
        <v>603</v>
      </c>
      <c r="C397">
        <v>232.25</v>
      </c>
      <c r="D397" t="s">
        <v>71</v>
      </c>
      <c r="E397" s="10">
        <v>2584.7796287651249</v>
      </c>
      <c r="F397" t="s">
        <v>30</v>
      </c>
      <c r="G397" s="14">
        <v>46054</v>
      </c>
      <c r="H397">
        <v>16671</v>
      </c>
      <c r="I397">
        <v>3871839.75</v>
      </c>
      <c r="J397">
        <v>89241.839924224696</v>
      </c>
      <c r="K397" t="s">
        <v>600</v>
      </c>
      <c r="L397" s="9" t="s">
        <v>601</v>
      </c>
      <c r="M397" t="s">
        <v>33</v>
      </c>
      <c r="N397" s="12">
        <v>1852.4610509770291</v>
      </c>
      <c r="O397" s="13">
        <v>0.71668045908503231</v>
      </c>
      <c r="P397" s="9" t="s">
        <v>603</v>
      </c>
      <c r="Q397">
        <v>470.34</v>
      </c>
      <c r="R397">
        <v>470.34</v>
      </c>
      <c r="S397" t="s">
        <v>39</v>
      </c>
      <c r="T397">
        <v>732.31857778809592</v>
      </c>
      <c r="U397">
        <v>510318.89999999997</v>
      </c>
      <c r="V397">
        <v>794565.65690008411</v>
      </c>
      <c r="W397" t="s">
        <v>30</v>
      </c>
      <c r="X397" t="s">
        <v>602</v>
      </c>
      <c r="Y397" t="s">
        <v>121</v>
      </c>
      <c r="Z397" t="b">
        <v>0</v>
      </c>
      <c r="AA397" t="s">
        <v>35</v>
      </c>
      <c r="AB397" t="s">
        <v>36</v>
      </c>
      <c r="AC397" t="s">
        <v>122</v>
      </c>
    </row>
    <row r="398" spans="2:29" x14ac:dyDescent="0.35">
      <c r="B398" t="s">
        <v>603</v>
      </c>
      <c r="C398">
        <v>635.89</v>
      </c>
      <c r="D398" t="s">
        <v>71</v>
      </c>
      <c r="E398" s="10">
        <v>7077.0097659223047</v>
      </c>
      <c r="F398" t="s">
        <v>30</v>
      </c>
      <c r="G398" s="14">
        <v>46054</v>
      </c>
      <c r="H398">
        <v>8482</v>
      </c>
      <c r="I398">
        <v>5393618.9799999995</v>
      </c>
      <c r="J398">
        <v>256393.22263943899</v>
      </c>
      <c r="K398" t="s">
        <v>600</v>
      </c>
      <c r="L398" s="9" t="s">
        <v>601</v>
      </c>
      <c r="M398" t="s">
        <v>33</v>
      </c>
      <c r="N398" s="12">
        <v>5955.9087140225292</v>
      </c>
      <c r="O398" s="13">
        <v>0.8415854875178812</v>
      </c>
      <c r="P398" s="9" t="s">
        <v>603</v>
      </c>
      <c r="Q398">
        <v>720.04</v>
      </c>
      <c r="R398">
        <v>720.04</v>
      </c>
      <c r="S398" t="s">
        <v>39</v>
      </c>
      <c r="T398">
        <v>1121.1010518997759</v>
      </c>
      <c r="U398">
        <v>5043160.16</v>
      </c>
      <c r="V398">
        <v>7852191.7675060304</v>
      </c>
      <c r="W398" t="s">
        <v>30</v>
      </c>
      <c r="X398" t="s">
        <v>602</v>
      </c>
      <c r="Y398" t="s">
        <v>121</v>
      </c>
      <c r="Z398" t="b">
        <v>0</v>
      </c>
      <c r="AA398" t="s">
        <v>35</v>
      </c>
      <c r="AB398" t="s">
        <v>36</v>
      </c>
      <c r="AC398" t="s">
        <v>122</v>
      </c>
    </row>
    <row r="399" spans="2:29" x14ac:dyDescent="0.35">
      <c r="B399" t="s">
        <v>604</v>
      </c>
      <c r="C399">
        <v>5.82</v>
      </c>
      <c r="D399" t="s">
        <v>71</v>
      </c>
      <c r="E399" s="10">
        <v>64.772518576590002</v>
      </c>
      <c r="F399" t="s">
        <v>30</v>
      </c>
      <c r="G399" s="14">
        <v>46054</v>
      </c>
      <c r="H399">
        <v>8668</v>
      </c>
      <c r="I399">
        <v>50447.76</v>
      </c>
      <c r="J399">
        <v>161512.83480943399</v>
      </c>
      <c r="K399" t="s">
        <v>600</v>
      </c>
      <c r="L399" s="9" t="s">
        <v>601</v>
      </c>
      <c r="M399" t="s">
        <v>33</v>
      </c>
      <c r="N399" s="12">
        <v>906.37402758952214</v>
      </c>
      <c r="O399" s="13">
        <v>13.993187967791986</v>
      </c>
      <c r="P399" s="9" t="s">
        <v>604</v>
      </c>
      <c r="Q399">
        <v>623.73</v>
      </c>
      <c r="R399">
        <v>623.73</v>
      </c>
      <c r="S399" t="s">
        <v>39</v>
      </c>
      <c r="T399">
        <v>971.1465461661121</v>
      </c>
      <c r="U399">
        <v>9256776.9299999997</v>
      </c>
      <c r="V399">
        <v>14412785.891651269</v>
      </c>
      <c r="W399" t="s">
        <v>30</v>
      </c>
      <c r="X399" t="s">
        <v>602</v>
      </c>
      <c r="Y399" t="s">
        <v>121</v>
      </c>
      <c r="Z399" t="b">
        <v>0</v>
      </c>
      <c r="AA399" t="s">
        <v>35</v>
      </c>
      <c r="AB399" t="s">
        <v>36</v>
      </c>
      <c r="AC399" t="s">
        <v>122</v>
      </c>
    </row>
    <row r="400" spans="2:29" x14ac:dyDescent="0.35">
      <c r="B400" t="s">
        <v>604</v>
      </c>
      <c r="C400">
        <v>506.07</v>
      </c>
      <c r="D400" t="s">
        <v>71</v>
      </c>
      <c r="E400" s="10">
        <v>5632.2042055077145</v>
      </c>
      <c r="F400" t="s">
        <v>30</v>
      </c>
      <c r="G400" s="14">
        <v>46054</v>
      </c>
      <c r="H400">
        <v>10576</v>
      </c>
      <c r="I400">
        <v>5352196.32</v>
      </c>
      <c r="J400">
        <v>100547.426740521</v>
      </c>
      <c r="K400" t="s">
        <v>600</v>
      </c>
      <c r="L400" s="9" t="s">
        <v>601</v>
      </c>
      <c r="M400" t="s">
        <v>33</v>
      </c>
      <c r="N400" s="12">
        <v>5600.7372699778907</v>
      </c>
      <c r="O400" s="13">
        <v>0.99441303362206712</v>
      </c>
      <c r="P400" s="9" t="s">
        <v>604</v>
      </c>
      <c r="Q400">
        <v>20.21</v>
      </c>
      <c r="R400">
        <v>20.21</v>
      </c>
      <c r="S400" t="s">
        <v>39</v>
      </c>
      <c r="T400">
        <v>31.466935529824003</v>
      </c>
      <c r="U400">
        <v>274876.21000000002</v>
      </c>
      <c r="V400">
        <v>427981.79014113627</v>
      </c>
      <c r="W400" t="s">
        <v>30</v>
      </c>
      <c r="X400" t="s">
        <v>602</v>
      </c>
      <c r="Y400" t="s">
        <v>121</v>
      </c>
      <c r="Z400" t="b">
        <v>0</v>
      </c>
      <c r="AA400" t="s">
        <v>35</v>
      </c>
      <c r="AB400" t="s">
        <v>36</v>
      </c>
      <c r="AC400" t="s">
        <v>122</v>
      </c>
    </row>
    <row r="401" spans="2:29" x14ac:dyDescent="0.35">
      <c r="B401" t="s">
        <v>604</v>
      </c>
      <c r="C401">
        <v>572.79999999999995</v>
      </c>
      <c r="D401" t="s">
        <v>71</v>
      </c>
      <c r="E401" s="10">
        <v>6374.8623093935994</v>
      </c>
      <c r="F401" t="s">
        <v>30</v>
      </c>
      <c r="G401" s="14">
        <v>46054</v>
      </c>
      <c r="H401">
        <v>3940</v>
      </c>
      <c r="I401">
        <v>2256832</v>
      </c>
      <c r="J401">
        <v>100547.426740521</v>
      </c>
      <c r="K401" t="s">
        <v>600</v>
      </c>
      <c r="L401" s="9" t="s">
        <v>601</v>
      </c>
      <c r="M401" t="s">
        <v>33</v>
      </c>
      <c r="N401" s="12">
        <v>6088.4524731387191</v>
      </c>
      <c r="O401" s="13">
        <v>0.95507199648330532</v>
      </c>
      <c r="P401" s="9" t="s">
        <v>604</v>
      </c>
      <c r="Q401">
        <v>183.95</v>
      </c>
      <c r="R401">
        <v>183.95</v>
      </c>
      <c r="S401" t="s">
        <v>39</v>
      </c>
      <c r="T401">
        <v>286.40983625487996</v>
      </c>
      <c r="U401">
        <v>1941224.3499999999</v>
      </c>
      <c r="V401">
        <v>3022483.0019977484</v>
      </c>
      <c r="W401" t="s">
        <v>30</v>
      </c>
      <c r="X401" t="s">
        <v>602</v>
      </c>
      <c r="Y401" t="s">
        <v>121</v>
      </c>
      <c r="Z401" t="b">
        <v>0</v>
      </c>
      <c r="AA401" t="s">
        <v>35</v>
      </c>
      <c r="AB401" t="s">
        <v>36</v>
      </c>
      <c r="AC401" t="s">
        <v>122</v>
      </c>
    </row>
    <row r="402" spans="2:29" x14ac:dyDescent="0.35">
      <c r="B402" t="s">
        <v>604</v>
      </c>
      <c r="C402">
        <v>824.55</v>
      </c>
      <c r="D402" t="s">
        <v>71</v>
      </c>
      <c r="E402" s="10">
        <v>9176.6632632864748</v>
      </c>
      <c r="F402" t="s">
        <v>30</v>
      </c>
      <c r="G402" s="14">
        <v>46054</v>
      </c>
      <c r="H402">
        <v>5430</v>
      </c>
      <c r="I402">
        <v>4477306.5</v>
      </c>
      <c r="J402">
        <v>30482.704034456499</v>
      </c>
      <c r="K402" t="s">
        <v>600</v>
      </c>
      <c r="L402" s="9" t="s">
        <v>601</v>
      </c>
      <c r="M402" t="s">
        <v>33</v>
      </c>
      <c r="N402" s="12">
        <v>9114.3054815957548</v>
      </c>
      <c r="O402" s="13">
        <v>0.99320474339074882</v>
      </c>
      <c r="P402" s="9" t="s">
        <v>604</v>
      </c>
      <c r="Q402">
        <v>40.049999999999997</v>
      </c>
      <c r="R402">
        <v>40.049999999999997</v>
      </c>
      <c r="S402" t="s">
        <v>39</v>
      </c>
      <c r="T402">
        <v>62.357781690719996</v>
      </c>
      <c r="U402">
        <v>737721</v>
      </c>
      <c r="V402">
        <v>1148630.3387430622</v>
      </c>
      <c r="W402" t="s">
        <v>30</v>
      </c>
      <c r="X402" t="s">
        <v>602</v>
      </c>
      <c r="Y402" t="s">
        <v>121</v>
      </c>
      <c r="Z402" t="b">
        <v>0</v>
      </c>
      <c r="AA402" t="s">
        <v>35</v>
      </c>
      <c r="AB402" t="s">
        <v>36</v>
      </c>
      <c r="AC402" t="s">
        <v>122</v>
      </c>
    </row>
    <row r="403" spans="2:29" x14ac:dyDescent="0.35">
      <c r="B403" t="s">
        <v>604</v>
      </c>
      <c r="C403">
        <v>819.57</v>
      </c>
      <c r="D403" t="s">
        <v>71</v>
      </c>
      <c r="E403" s="10">
        <v>9121.239355638465</v>
      </c>
      <c r="F403" t="s">
        <v>30</v>
      </c>
      <c r="G403" s="14">
        <v>46054</v>
      </c>
      <c r="H403">
        <v>6665</v>
      </c>
      <c r="I403">
        <v>5462434.0500000007</v>
      </c>
      <c r="J403">
        <v>35032.361353032102</v>
      </c>
      <c r="K403" t="s">
        <v>600</v>
      </c>
      <c r="L403" s="9" t="s">
        <v>601</v>
      </c>
      <c r="M403" t="s">
        <v>33</v>
      </c>
      <c r="N403" s="12">
        <v>8276.3498011652482</v>
      </c>
      <c r="O403" s="13">
        <v>0.90737118920676796</v>
      </c>
      <c r="P403" s="9" t="s">
        <v>604</v>
      </c>
      <c r="Q403">
        <v>542.64</v>
      </c>
      <c r="R403">
        <v>542.64</v>
      </c>
      <c r="S403" t="s">
        <v>39</v>
      </c>
      <c r="T403">
        <v>844.88955447321598</v>
      </c>
      <c r="U403">
        <v>6517649.04</v>
      </c>
      <c r="V403">
        <v>10147968.438777797</v>
      </c>
      <c r="W403" t="s">
        <v>30</v>
      </c>
      <c r="X403" t="s">
        <v>602</v>
      </c>
      <c r="Y403" t="s">
        <v>121</v>
      </c>
      <c r="Z403" t="b">
        <v>0</v>
      </c>
      <c r="AA403" t="s">
        <v>35</v>
      </c>
      <c r="AB403" t="s">
        <v>36</v>
      </c>
      <c r="AC403" t="s">
        <v>122</v>
      </c>
    </row>
    <row r="404" spans="2:29" x14ac:dyDescent="0.35">
      <c r="B404" t="s">
        <v>604</v>
      </c>
      <c r="C404">
        <v>600.35</v>
      </c>
      <c r="D404" t="s">
        <v>71</v>
      </c>
      <c r="E404" s="10">
        <v>6681.4744892535755</v>
      </c>
      <c r="F404" t="s">
        <v>30</v>
      </c>
      <c r="G404" s="14">
        <v>46054</v>
      </c>
      <c r="H404">
        <v>12659</v>
      </c>
      <c r="I404">
        <v>7599830.6500000004</v>
      </c>
      <c r="J404">
        <v>65515.065387488597</v>
      </c>
      <c r="K404" t="s">
        <v>600</v>
      </c>
      <c r="L404" s="9" t="s">
        <v>601</v>
      </c>
      <c r="M404" t="s">
        <v>33</v>
      </c>
      <c r="N404" s="12">
        <v>5675.3889013611279</v>
      </c>
      <c r="O404" s="13">
        <v>0.84942162250104725</v>
      </c>
      <c r="P404" s="9" t="s">
        <v>604</v>
      </c>
      <c r="Q404">
        <v>646.16999999999996</v>
      </c>
      <c r="R404">
        <v>646.16999999999996</v>
      </c>
      <c r="S404" t="s">
        <v>39</v>
      </c>
      <c r="T404">
        <v>1006.085587892448</v>
      </c>
      <c r="U404">
        <v>8005400.1299999999</v>
      </c>
      <c r="V404">
        <v>12464394.348399539</v>
      </c>
      <c r="W404" t="s">
        <v>30</v>
      </c>
      <c r="X404" t="s">
        <v>602</v>
      </c>
      <c r="Y404" t="s">
        <v>121</v>
      </c>
      <c r="Z404" t="b">
        <v>0</v>
      </c>
      <c r="AA404" t="s">
        <v>35</v>
      </c>
      <c r="AB404" t="s">
        <v>36</v>
      </c>
      <c r="AC404" t="s">
        <v>122</v>
      </c>
    </row>
    <row r="405" spans="2:29" x14ac:dyDescent="0.35">
      <c r="B405" t="s">
        <v>604</v>
      </c>
      <c r="C405">
        <v>703.98</v>
      </c>
      <c r="D405" t="s">
        <v>71</v>
      </c>
      <c r="E405" s="10">
        <v>7834.8037160735103</v>
      </c>
      <c r="F405" t="s">
        <v>30</v>
      </c>
      <c r="G405" s="14">
        <v>46054</v>
      </c>
      <c r="H405">
        <v>8995</v>
      </c>
      <c r="I405">
        <v>6332300.1000000006</v>
      </c>
      <c r="J405">
        <v>95997.769421945195</v>
      </c>
      <c r="K405" t="s">
        <v>600</v>
      </c>
      <c r="L405" s="9" t="s">
        <v>601</v>
      </c>
      <c r="M405" t="s">
        <v>33</v>
      </c>
      <c r="N405" s="12">
        <v>7215.4765045100221</v>
      </c>
      <c r="O405" s="13">
        <v>0.9209517897311319</v>
      </c>
      <c r="P405" s="9" t="s">
        <v>604</v>
      </c>
      <c r="Q405">
        <v>397.77</v>
      </c>
      <c r="R405">
        <v>397.77</v>
      </c>
      <c r="S405" t="s">
        <v>39</v>
      </c>
      <c r="T405">
        <v>619.32721156348794</v>
      </c>
      <c r="U405">
        <v>4535771.3099999996</v>
      </c>
      <c r="V405">
        <v>7062188.1934584528</v>
      </c>
      <c r="W405" t="s">
        <v>30</v>
      </c>
      <c r="X405" t="s">
        <v>602</v>
      </c>
      <c r="Y405" t="s">
        <v>121</v>
      </c>
      <c r="Z405" t="b">
        <v>0</v>
      </c>
      <c r="AA405" t="s">
        <v>35</v>
      </c>
      <c r="AB405" t="s">
        <v>36</v>
      </c>
      <c r="AC405" t="s">
        <v>122</v>
      </c>
    </row>
    <row r="406" spans="2:29" x14ac:dyDescent="0.35">
      <c r="B406" t="s">
        <v>605</v>
      </c>
      <c r="C406">
        <v>959.25</v>
      </c>
      <c r="D406" t="s">
        <v>29</v>
      </c>
      <c r="E406" s="10">
        <v>8912.1639281249991</v>
      </c>
      <c r="F406" t="s">
        <v>30</v>
      </c>
      <c r="G406" s="14">
        <v>46054</v>
      </c>
      <c r="H406">
        <v>16663</v>
      </c>
      <c r="I406">
        <v>15983982.75</v>
      </c>
      <c r="J406">
        <v>10452.1078125</v>
      </c>
      <c r="K406" t="s">
        <v>606</v>
      </c>
      <c r="L406" s="9" t="s">
        <v>607</v>
      </c>
      <c r="M406" t="s">
        <v>50</v>
      </c>
      <c r="N406" s="12">
        <v>7771.3512778181193</v>
      </c>
      <c r="O406" s="13">
        <v>0.87199375376089028</v>
      </c>
      <c r="P406" s="9" t="s">
        <v>605</v>
      </c>
      <c r="Q406">
        <v>732.7</v>
      </c>
      <c r="R406">
        <v>732.7</v>
      </c>
      <c r="S406" t="s">
        <v>39</v>
      </c>
      <c r="T406">
        <v>1140.8126503068802</v>
      </c>
      <c r="U406">
        <v>6652183.3000000007</v>
      </c>
      <c r="V406">
        <v>10357438.052136166</v>
      </c>
      <c r="W406" t="s">
        <v>30</v>
      </c>
      <c r="X406" t="s">
        <v>608</v>
      </c>
      <c r="Y406" t="s">
        <v>609</v>
      </c>
      <c r="Z406" t="b">
        <v>0</v>
      </c>
      <c r="AA406" t="s">
        <v>44</v>
      </c>
      <c r="AB406" t="s">
        <v>36</v>
      </c>
      <c r="AC406" t="s">
        <v>610</v>
      </c>
    </row>
    <row r="407" spans="2:29" x14ac:dyDescent="0.35">
      <c r="B407" t="s">
        <v>611</v>
      </c>
      <c r="C407">
        <v>795.96</v>
      </c>
      <c r="D407" t="s">
        <v>575</v>
      </c>
      <c r="E407" s="10">
        <v>1059.7777581600001</v>
      </c>
      <c r="F407" t="s">
        <v>30</v>
      </c>
      <c r="G407" s="14">
        <v>46054</v>
      </c>
      <c r="H407">
        <v>6201</v>
      </c>
      <c r="I407">
        <v>4935747.96</v>
      </c>
      <c r="J407">
        <v>48819.883898200802</v>
      </c>
      <c r="K407" t="s">
        <v>612</v>
      </c>
      <c r="L407" s="9" t="s">
        <v>613</v>
      </c>
      <c r="M407" t="s">
        <v>33</v>
      </c>
      <c r="N407" s="12">
        <v>32.065463958336068</v>
      </c>
      <c r="O407" s="13">
        <v>3.0256781397270067E-2</v>
      </c>
      <c r="P407" s="9" t="s">
        <v>611</v>
      </c>
      <c r="Q407">
        <v>660.06</v>
      </c>
      <c r="R407">
        <v>660.06</v>
      </c>
      <c r="S407" t="s">
        <v>39</v>
      </c>
      <c r="T407">
        <v>1027.712294201664</v>
      </c>
      <c r="U407">
        <v>6416443.2599999998</v>
      </c>
      <c r="V407">
        <v>9990391.2119343765</v>
      </c>
      <c r="W407" t="s">
        <v>30</v>
      </c>
      <c r="X407" t="s">
        <v>614</v>
      </c>
      <c r="Y407" t="s">
        <v>615</v>
      </c>
      <c r="Z407" t="b">
        <v>0</v>
      </c>
      <c r="AA407" t="s">
        <v>44</v>
      </c>
      <c r="AB407" t="s">
        <v>36</v>
      </c>
      <c r="AC407" t="s">
        <v>500</v>
      </c>
    </row>
    <row r="408" spans="2:29" x14ac:dyDescent="0.35">
      <c r="B408" t="s">
        <v>611</v>
      </c>
      <c r="C408">
        <v>694.91</v>
      </c>
      <c r="D408" t="s">
        <v>575</v>
      </c>
      <c r="E408" s="10">
        <v>925.23513985999989</v>
      </c>
      <c r="F408" t="s">
        <v>30</v>
      </c>
      <c r="G408" s="14">
        <v>46082</v>
      </c>
      <c r="H408">
        <v>11219</v>
      </c>
      <c r="I408">
        <v>7796195.29</v>
      </c>
      <c r="J408">
        <v>53685.095695616001</v>
      </c>
      <c r="K408" t="s">
        <v>612</v>
      </c>
      <c r="L408" s="9" t="s">
        <v>613</v>
      </c>
      <c r="M408" t="s">
        <v>33</v>
      </c>
      <c r="N408" s="12">
        <v>173.9211828802238</v>
      </c>
      <c r="O408" s="13">
        <v>0.18797511614889631</v>
      </c>
      <c r="P408" s="9" t="s">
        <v>611</v>
      </c>
      <c r="Q408">
        <v>482.54</v>
      </c>
      <c r="R408">
        <v>482.54</v>
      </c>
      <c r="S408" t="s">
        <v>39</v>
      </c>
      <c r="T408">
        <v>751.31395697977609</v>
      </c>
      <c r="U408">
        <v>7312411.1600000001</v>
      </c>
      <c r="V408">
        <v>11385411.704071527</v>
      </c>
      <c r="W408" t="s">
        <v>30</v>
      </c>
      <c r="X408" t="s">
        <v>614</v>
      </c>
      <c r="Y408" t="s">
        <v>615</v>
      </c>
      <c r="Z408" t="b">
        <v>0</v>
      </c>
      <c r="AA408" t="s">
        <v>44</v>
      </c>
      <c r="AB408" t="s">
        <v>36</v>
      </c>
      <c r="AC408" t="s">
        <v>500</v>
      </c>
    </row>
    <row r="409" spans="2:29" x14ac:dyDescent="0.35">
      <c r="B409" t="s">
        <v>616</v>
      </c>
      <c r="C409">
        <v>505.78</v>
      </c>
      <c r="D409" t="s">
        <v>29</v>
      </c>
      <c r="E409" s="10">
        <v>4699.0818572499993</v>
      </c>
      <c r="F409" t="s">
        <v>30</v>
      </c>
      <c r="G409" s="14">
        <v>46082</v>
      </c>
      <c r="H409">
        <v>19950</v>
      </c>
      <c r="I409">
        <v>10090311</v>
      </c>
      <c r="J409">
        <v>247875.16506480001</v>
      </c>
      <c r="K409" t="s">
        <v>617</v>
      </c>
      <c r="L409" s="9" t="s">
        <v>618</v>
      </c>
      <c r="M409" t="s">
        <v>33</v>
      </c>
      <c r="N409" s="12">
        <v>4007.6344846899033</v>
      </c>
      <c r="O409" s="13">
        <v>0.85285479300742684</v>
      </c>
      <c r="P409" s="9" t="s">
        <v>616</v>
      </c>
      <c r="Q409">
        <v>444.09</v>
      </c>
      <c r="R409">
        <v>444.09</v>
      </c>
      <c r="S409" t="s">
        <v>39</v>
      </c>
      <c r="T409">
        <v>691.44737256009603</v>
      </c>
      <c r="U409">
        <v>4154461.9499999997</v>
      </c>
      <c r="V409">
        <v>6468490.1702996986</v>
      </c>
      <c r="W409" t="s">
        <v>30</v>
      </c>
      <c r="X409" t="s">
        <v>619</v>
      </c>
      <c r="Y409" t="s">
        <v>620</v>
      </c>
      <c r="Z409" t="b">
        <v>0</v>
      </c>
      <c r="AA409" t="s">
        <v>35</v>
      </c>
      <c r="AB409" t="s">
        <v>36</v>
      </c>
      <c r="AC409" t="s">
        <v>562</v>
      </c>
    </row>
    <row r="410" spans="2:29" x14ac:dyDescent="0.35">
      <c r="B410" t="s">
        <v>53</v>
      </c>
      <c r="C410">
        <v>189.43</v>
      </c>
      <c r="D410" t="s">
        <v>29</v>
      </c>
      <c r="E410" s="10">
        <v>1759.9491403750001</v>
      </c>
      <c r="F410" t="s">
        <v>30</v>
      </c>
      <c r="G410" s="14">
        <v>46082</v>
      </c>
      <c r="H410">
        <v>15111</v>
      </c>
      <c r="I410">
        <v>2862476.73</v>
      </c>
      <c r="J410">
        <v>176896.11799999999</v>
      </c>
      <c r="K410" t="s">
        <v>54</v>
      </c>
      <c r="L410" s="9" t="s">
        <v>55</v>
      </c>
      <c r="M410" t="s">
        <v>56</v>
      </c>
      <c r="N410" s="12">
        <v>522.94513544008805</v>
      </c>
      <c r="O410" s="13">
        <v>0.29713650437004208</v>
      </c>
      <c r="P410" s="9" t="s">
        <v>53</v>
      </c>
      <c r="Q410">
        <v>794.48</v>
      </c>
      <c r="R410">
        <v>794.48</v>
      </c>
      <c r="S410" t="s">
        <v>39</v>
      </c>
      <c r="T410">
        <v>1237.004004934912</v>
      </c>
      <c r="U410">
        <v>301902.40000000002</v>
      </c>
      <c r="V410">
        <v>470061.52187526657</v>
      </c>
      <c r="W410" t="s">
        <v>30</v>
      </c>
      <c r="X410" t="s">
        <v>57</v>
      </c>
      <c r="Y410" t="s">
        <v>58</v>
      </c>
      <c r="Z410" t="b">
        <v>0</v>
      </c>
      <c r="AA410" t="s">
        <v>565</v>
      </c>
      <c r="AB410" t="s">
        <v>36</v>
      </c>
      <c r="AC410" t="s">
        <v>59</v>
      </c>
    </row>
    <row r="411" spans="2:29" x14ac:dyDescent="0.35">
      <c r="B411" t="s">
        <v>621</v>
      </c>
      <c r="C411">
        <v>632.64</v>
      </c>
      <c r="D411" t="s">
        <v>29</v>
      </c>
      <c r="E411" s="10">
        <v>5877.7079879999992</v>
      </c>
      <c r="F411" t="s">
        <v>30</v>
      </c>
      <c r="G411" s="14">
        <v>46082</v>
      </c>
      <c r="H411">
        <v>11282</v>
      </c>
      <c r="I411">
        <v>7137444.4799999995</v>
      </c>
      <c r="J411">
        <v>41808.431250000001</v>
      </c>
      <c r="K411" t="s">
        <v>54</v>
      </c>
      <c r="L411" s="9" t="s">
        <v>55</v>
      </c>
      <c r="M411" t="s">
        <v>56</v>
      </c>
      <c r="N411" s="12">
        <v>5369.4414647760632</v>
      </c>
      <c r="O411" s="13">
        <v>0.9135264078682338</v>
      </c>
      <c r="P411" s="9" t="s">
        <v>621</v>
      </c>
      <c r="Q411">
        <v>326.44</v>
      </c>
      <c r="R411">
        <v>326.44</v>
      </c>
      <c r="S411" t="s">
        <v>39</v>
      </c>
      <c r="T411">
        <v>508.26652322393602</v>
      </c>
      <c r="U411">
        <v>5927823.96</v>
      </c>
      <c r="V411">
        <v>9229611.795223454</v>
      </c>
      <c r="W411" t="s">
        <v>30</v>
      </c>
      <c r="X411" t="s">
        <v>57</v>
      </c>
      <c r="Y411" t="s">
        <v>622</v>
      </c>
      <c r="Z411" t="b">
        <v>0</v>
      </c>
      <c r="AA411" t="s">
        <v>44</v>
      </c>
      <c r="AB411" t="s">
        <v>36</v>
      </c>
      <c r="AC411" t="s">
        <v>623</v>
      </c>
    </row>
    <row r="412" spans="2:29" x14ac:dyDescent="0.35">
      <c r="B412" t="s">
        <v>621</v>
      </c>
      <c r="C412">
        <v>516.74</v>
      </c>
      <c r="D412" t="s">
        <v>29</v>
      </c>
      <c r="E412" s="10">
        <v>4800.90861425</v>
      </c>
      <c r="F412" t="s">
        <v>30</v>
      </c>
      <c r="G412" s="14">
        <v>46082</v>
      </c>
      <c r="H412">
        <v>12204</v>
      </c>
      <c r="I412">
        <v>6306294.96</v>
      </c>
      <c r="J412">
        <v>139361.4375</v>
      </c>
      <c r="K412" t="s">
        <v>54</v>
      </c>
      <c r="L412" s="9" t="s">
        <v>55</v>
      </c>
      <c r="M412" t="s">
        <v>56</v>
      </c>
      <c r="N412" s="12">
        <v>4281.2292935281121</v>
      </c>
      <c r="O412" s="13">
        <v>0.8917539652432912</v>
      </c>
      <c r="P412" s="9" t="s">
        <v>621</v>
      </c>
      <c r="Q412">
        <v>333.77</v>
      </c>
      <c r="R412">
        <v>333.77</v>
      </c>
      <c r="S412" t="s">
        <v>39</v>
      </c>
      <c r="T412">
        <v>519.67932072188796</v>
      </c>
      <c r="U412">
        <v>5110686.2399999993</v>
      </c>
      <c r="V412">
        <v>7957329.7588935485</v>
      </c>
      <c r="W412" t="s">
        <v>30</v>
      </c>
      <c r="X412" t="s">
        <v>57</v>
      </c>
      <c r="Y412" t="s">
        <v>622</v>
      </c>
      <c r="Z412" t="b">
        <v>0</v>
      </c>
      <c r="AA412" t="s">
        <v>44</v>
      </c>
      <c r="AB412" t="s">
        <v>36</v>
      </c>
      <c r="AC412" t="s">
        <v>623</v>
      </c>
    </row>
    <row r="413" spans="2:29" x14ac:dyDescent="0.35">
      <c r="B413" t="s">
        <v>624</v>
      </c>
      <c r="C413">
        <v>726.69</v>
      </c>
      <c r="D413" t="s">
        <v>29</v>
      </c>
      <c r="E413" s="10">
        <v>6751.5042011249998</v>
      </c>
      <c r="F413" t="s">
        <v>30</v>
      </c>
      <c r="G413" s="14">
        <v>46082</v>
      </c>
      <c r="H413">
        <v>16813</v>
      </c>
      <c r="I413">
        <v>12217838.970000001</v>
      </c>
      <c r="J413">
        <v>38296.523025000002</v>
      </c>
      <c r="K413" t="s">
        <v>54</v>
      </c>
      <c r="L413" s="9" t="s">
        <v>55</v>
      </c>
      <c r="M413" t="s">
        <v>56</v>
      </c>
      <c r="N413" s="12">
        <v>6263.5253656770956</v>
      </c>
      <c r="O413" s="13">
        <v>0.92772294574495084</v>
      </c>
      <c r="P413" s="9" t="s">
        <v>624</v>
      </c>
      <c r="Q413">
        <v>313.41000000000003</v>
      </c>
      <c r="R413">
        <v>313.41000000000003</v>
      </c>
      <c r="S413" t="s">
        <v>39</v>
      </c>
      <c r="T413">
        <v>487.97883544790403</v>
      </c>
      <c r="U413">
        <v>817373.28</v>
      </c>
      <c r="V413">
        <v>1272648.8028481337</v>
      </c>
      <c r="W413" t="s">
        <v>30</v>
      </c>
      <c r="X413" t="s">
        <v>57</v>
      </c>
      <c r="Y413" t="s">
        <v>625</v>
      </c>
      <c r="Z413" t="b">
        <v>0</v>
      </c>
      <c r="AA413" t="s">
        <v>35</v>
      </c>
      <c r="AB413" t="s">
        <v>36</v>
      </c>
      <c r="AC413" t="s">
        <v>59</v>
      </c>
    </row>
    <row r="414" spans="2:29" x14ac:dyDescent="0.35">
      <c r="B414" t="s">
        <v>624</v>
      </c>
      <c r="C414">
        <v>580.20000000000005</v>
      </c>
      <c r="D414" t="s">
        <v>29</v>
      </c>
      <c r="E414" s="10">
        <v>5390.5004024999998</v>
      </c>
      <c r="F414" t="s">
        <v>30</v>
      </c>
      <c r="G414" s="14">
        <v>46082</v>
      </c>
      <c r="H414">
        <v>9910</v>
      </c>
      <c r="I414">
        <v>5749782</v>
      </c>
      <c r="J414">
        <v>127655.07674999999</v>
      </c>
      <c r="K414" t="s">
        <v>54</v>
      </c>
      <c r="L414" s="9" t="s">
        <v>55</v>
      </c>
      <c r="M414" t="s">
        <v>56</v>
      </c>
      <c r="N414" s="12">
        <v>4990.6476705151363</v>
      </c>
      <c r="O414" s="13">
        <v>0.92582270621862484</v>
      </c>
      <c r="P414" s="9" t="s">
        <v>624</v>
      </c>
      <c r="Q414">
        <v>256.81</v>
      </c>
      <c r="R414">
        <v>256.81</v>
      </c>
      <c r="S414" t="s">
        <v>39</v>
      </c>
      <c r="T414">
        <v>399.85273198486402</v>
      </c>
      <c r="U414">
        <v>1922993.28</v>
      </c>
      <c r="V414">
        <v>2994097.2571026618</v>
      </c>
      <c r="W414" t="s">
        <v>30</v>
      </c>
      <c r="X414" t="s">
        <v>57</v>
      </c>
      <c r="Y414" t="s">
        <v>625</v>
      </c>
      <c r="Z414" t="b">
        <v>0</v>
      </c>
      <c r="AA414" t="s">
        <v>35</v>
      </c>
      <c r="AB414" t="s">
        <v>36</v>
      </c>
      <c r="AC414" t="s">
        <v>59</v>
      </c>
    </row>
    <row r="415" spans="2:29" x14ac:dyDescent="0.35">
      <c r="B415" t="s">
        <v>626</v>
      </c>
      <c r="C415">
        <v>96.42</v>
      </c>
      <c r="D415" t="s">
        <v>29</v>
      </c>
      <c r="E415" s="10">
        <v>895.81532025000001</v>
      </c>
      <c r="F415" t="s">
        <v>30</v>
      </c>
      <c r="G415" s="14">
        <v>46082</v>
      </c>
      <c r="H415">
        <v>19228</v>
      </c>
      <c r="I415">
        <v>1853963.76</v>
      </c>
      <c r="J415">
        <v>124436.75662</v>
      </c>
      <c r="K415" t="s">
        <v>54</v>
      </c>
      <c r="L415" s="9" t="s">
        <v>55</v>
      </c>
      <c r="M415" t="s">
        <v>56</v>
      </c>
      <c r="N415" s="12">
        <v>845.02603588667205</v>
      </c>
      <c r="O415" s="13">
        <v>0.94330384487155905</v>
      </c>
      <c r="P415" s="9" t="s">
        <v>626</v>
      </c>
      <c r="Q415">
        <v>32.619999999999997</v>
      </c>
      <c r="R415">
        <v>32.619999999999997</v>
      </c>
      <c r="S415" t="s">
        <v>39</v>
      </c>
      <c r="T415">
        <v>50.789284363327994</v>
      </c>
      <c r="U415">
        <v>423407.6</v>
      </c>
      <c r="V415">
        <v>659244.91103599733</v>
      </c>
      <c r="W415" t="s">
        <v>30</v>
      </c>
      <c r="X415" t="s">
        <v>57</v>
      </c>
      <c r="Y415" t="s">
        <v>627</v>
      </c>
      <c r="Z415" t="b">
        <v>0</v>
      </c>
      <c r="AA415" t="s">
        <v>565</v>
      </c>
      <c r="AB415" t="s">
        <v>36</v>
      </c>
      <c r="AC415" t="s">
        <v>59</v>
      </c>
    </row>
    <row r="416" spans="2:29" x14ac:dyDescent="0.35">
      <c r="B416" t="s">
        <v>628</v>
      </c>
      <c r="C416">
        <v>595.13</v>
      </c>
      <c r="D416" t="s">
        <v>29</v>
      </c>
      <c r="E416" s="10">
        <v>5529.2114866249995</v>
      </c>
      <c r="F416" t="s">
        <v>30</v>
      </c>
      <c r="G416" s="14">
        <v>46082</v>
      </c>
      <c r="H416">
        <v>9975</v>
      </c>
      <c r="I416">
        <v>5936421.75</v>
      </c>
      <c r="J416">
        <v>106628.22306</v>
      </c>
      <c r="K416" t="s">
        <v>54</v>
      </c>
      <c r="L416" s="9" t="s">
        <v>55</v>
      </c>
      <c r="M416" t="s">
        <v>56</v>
      </c>
      <c r="N416" s="12">
        <v>5263.4785877197519</v>
      </c>
      <c r="O416" s="13">
        <v>0.95194018178757533</v>
      </c>
      <c r="P416" s="9" t="s">
        <v>628</v>
      </c>
      <c r="Q416">
        <v>170.67</v>
      </c>
      <c r="R416">
        <v>170.67</v>
      </c>
      <c r="S416" t="s">
        <v>39</v>
      </c>
      <c r="T416">
        <v>265.73289890524796</v>
      </c>
      <c r="U416">
        <v>3070353.3</v>
      </c>
      <c r="V416">
        <v>4780534.8513054112</v>
      </c>
      <c r="W416" t="s">
        <v>30</v>
      </c>
      <c r="X416" t="s">
        <v>57</v>
      </c>
      <c r="Y416" t="s">
        <v>629</v>
      </c>
      <c r="Z416" t="b">
        <v>0</v>
      </c>
      <c r="AA416" t="s">
        <v>565</v>
      </c>
      <c r="AB416" t="s">
        <v>36</v>
      </c>
      <c r="AC416" t="s">
        <v>59</v>
      </c>
    </row>
    <row r="417" spans="2:29" x14ac:dyDescent="0.35">
      <c r="B417" t="s">
        <v>630</v>
      </c>
      <c r="C417">
        <v>364.74</v>
      </c>
      <c r="D417" t="s">
        <v>29</v>
      </c>
      <c r="E417" s="10">
        <v>3388.7127142499999</v>
      </c>
      <c r="F417" t="s">
        <v>30</v>
      </c>
      <c r="G417" s="14">
        <v>46082</v>
      </c>
      <c r="H417">
        <v>7090</v>
      </c>
      <c r="I417">
        <v>2586006.6</v>
      </c>
      <c r="J417">
        <v>120705.5864</v>
      </c>
      <c r="K417" t="s">
        <v>54</v>
      </c>
      <c r="L417" s="9" t="s">
        <v>55</v>
      </c>
      <c r="M417" t="s">
        <v>56</v>
      </c>
      <c r="N417" s="12">
        <v>2508.214608783856</v>
      </c>
      <c r="O417" s="13">
        <v>0.74016737926365694</v>
      </c>
      <c r="P417" s="9" t="s">
        <v>630</v>
      </c>
      <c r="Q417">
        <v>565.51</v>
      </c>
      <c r="R417">
        <v>565.51</v>
      </c>
      <c r="S417" t="s">
        <v>39</v>
      </c>
      <c r="T417">
        <v>880.49810546614401</v>
      </c>
      <c r="U417">
        <v>8128640.7400000002</v>
      </c>
      <c r="V417">
        <v>12656279.767970353</v>
      </c>
      <c r="W417" t="s">
        <v>30</v>
      </c>
      <c r="X417" t="s">
        <v>57</v>
      </c>
      <c r="Y417" t="s">
        <v>58</v>
      </c>
      <c r="Z417" t="b">
        <v>0</v>
      </c>
      <c r="AA417" t="s">
        <v>565</v>
      </c>
      <c r="AB417" t="s">
        <v>36</v>
      </c>
      <c r="AC417" t="s">
        <v>59</v>
      </c>
    </row>
    <row r="418" spans="2:29" x14ac:dyDescent="0.35">
      <c r="B418" t="s">
        <v>631</v>
      </c>
      <c r="C418">
        <v>133.16</v>
      </c>
      <c r="D418" t="s">
        <v>29</v>
      </c>
      <c r="E418" s="10">
        <v>1237.1579345</v>
      </c>
      <c r="F418" t="s">
        <v>30</v>
      </c>
      <c r="G418" s="14">
        <v>46082</v>
      </c>
      <c r="H418">
        <v>16684</v>
      </c>
      <c r="I418">
        <v>2221641.44</v>
      </c>
      <c r="J418">
        <v>454340.58408</v>
      </c>
      <c r="K418" t="s">
        <v>54</v>
      </c>
      <c r="L418" s="9" t="s">
        <v>55</v>
      </c>
      <c r="M418" t="s">
        <v>56</v>
      </c>
      <c r="N418" s="12">
        <v>126.42649124092804</v>
      </c>
      <c r="O418" s="13">
        <v>0.10219106850898836</v>
      </c>
      <c r="P418" s="9" t="s">
        <v>631</v>
      </c>
      <c r="Q418">
        <v>713.38</v>
      </c>
      <c r="R418">
        <v>713.38</v>
      </c>
      <c r="S418" t="s">
        <v>39</v>
      </c>
      <c r="T418">
        <v>1110.731443259072</v>
      </c>
      <c r="U418">
        <v>13387289.08</v>
      </c>
      <c r="V418">
        <v>20843986.264199745</v>
      </c>
      <c r="W418" t="s">
        <v>30</v>
      </c>
      <c r="X418" t="s">
        <v>57</v>
      </c>
      <c r="Y418" t="s">
        <v>632</v>
      </c>
      <c r="Z418" t="b">
        <v>0</v>
      </c>
      <c r="AA418" t="s">
        <v>565</v>
      </c>
      <c r="AB418" t="s">
        <v>36</v>
      </c>
      <c r="AC418" t="s">
        <v>262</v>
      </c>
    </row>
    <row r="419" spans="2:29" x14ac:dyDescent="0.35">
      <c r="B419" t="s">
        <v>631</v>
      </c>
      <c r="C419">
        <v>950.01</v>
      </c>
      <c r="D419" t="s">
        <v>29</v>
      </c>
      <c r="E419" s="10">
        <v>8826.3172826249993</v>
      </c>
      <c r="F419" t="s">
        <v>30</v>
      </c>
      <c r="G419" s="14">
        <v>46082</v>
      </c>
      <c r="H419">
        <v>18472</v>
      </c>
      <c r="I419">
        <v>17548584.719999999</v>
      </c>
      <c r="J419">
        <v>454340.58408</v>
      </c>
      <c r="K419" t="s">
        <v>54</v>
      </c>
      <c r="L419" s="9" t="s">
        <v>55</v>
      </c>
      <c r="M419" t="s">
        <v>56</v>
      </c>
      <c r="N419" s="12">
        <v>7977.7376421940553</v>
      </c>
      <c r="O419" s="13">
        <v>0.90385801764667906</v>
      </c>
      <c r="P419" s="9" t="s">
        <v>631</v>
      </c>
      <c r="Q419">
        <v>545.01</v>
      </c>
      <c r="R419">
        <v>545.01</v>
      </c>
      <c r="S419" t="s">
        <v>39</v>
      </c>
      <c r="T419">
        <v>848.57964043094398</v>
      </c>
      <c r="U419">
        <v>9950792.5800000001</v>
      </c>
      <c r="V419">
        <v>15493367.074988175</v>
      </c>
      <c r="W419" t="s">
        <v>30</v>
      </c>
      <c r="X419" t="s">
        <v>57</v>
      </c>
      <c r="Y419" t="s">
        <v>632</v>
      </c>
      <c r="Z419" t="b">
        <v>0</v>
      </c>
      <c r="AA419" t="s">
        <v>565</v>
      </c>
      <c r="AB419" t="s">
        <v>36</v>
      </c>
      <c r="AC419" t="s">
        <v>262</v>
      </c>
    </row>
    <row r="420" spans="2:29" x14ac:dyDescent="0.35">
      <c r="B420" t="s">
        <v>631</v>
      </c>
      <c r="C420">
        <v>285.87</v>
      </c>
      <c r="D420" t="s">
        <v>29</v>
      </c>
      <c r="E420" s="10">
        <v>2655.950275875</v>
      </c>
      <c r="F420" t="s">
        <v>30</v>
      </c>
      <c r="G420" s="14">
        <v>46082</v>
      </c>
      <c r="H420">
        <v>17224</v>
      </c>
      <c r="I420">
        <v>4923824.88</v>
      </c>
      <c r="J420">
        <v>272604.35044800001</v>
      </c>
      <c r="K420" t="s">
        <v>54</v>
      </c>
      <c r="L420" s="9" t="s">
        <v>55</v>
      </c>
      <c r="M420" t="s">
        <v>56</v>
      </c>
      <c r="N420" s="12">
        <v>2220.255443153048</v>
      </c>
      <c r="O420" s="13">
        <v>0.83595519965884424</v>
      </c>
      <c r="P420" s="9" t="s">
        <v>631</v>
      </c>
      <c r="Q420">
        <v>279.83</v>
      </c>
      <c r="R420">
        <v>279.83</v>
      </c>
      <c r="S420" t="s">
        <v>39</v>
      </c>
      <c r="T420">
        <v>435.69483272195197</v>
      </c>
      <c r="U420">
        <v>4774179.63</v>
      </c>
      <c r="V420">
        <v>7433389.5410692226</v>
      </c>
      <c r="W420" t="s">
        <v>30</v>
      </c>
      <c r="X420" t="s">
        <v>57</v>
      </c>
      <c r="Y420" t="s">
        <v>632</v>
      </c>
      <c r="Z420" t="b">
        <v>0</v>
      </c>
      <c r="AA420" t="s">
        <v>565</v>
      </c>
      <c r="AB420" t="s">
        <v>36</v>
      </c>
      <c r="AC420" t="s">
        <v>262</v>
      </c>
    </row>
    <row r="421" spans="2:29" x14ac:dyDescent="0.35">
      <c r="B421" t="s">
        <v>631</v>
      </c>
      <c r="C421">
        <v>764.77</v>
      </c>
      <c r="D421" t="s">
        <v>29</v>
      </c>
      <c r="E421" s="10">
        <v>7105.2964371249991</v>
      </c>
      <c r="F421" t="s">
        <v>30</v>
      </c>
      <c r="G421" s="14">
        <v>46082</v>
      </c>
      <c r="H421">
        <v>12187</v>
      </c>
      <c r="I421">
        <v>9320251.9900000002</v>
      </c>
      <c r="J421">
        <v>636076.81771199999</v>
      </c>
      <c r="K421" t="s">
        <v>54</v>
      </c>
      <c r="L421" s="9" t="s">
        <v>55</v>
      </c>
      <c r="M421" t="s">
        <v>56</v>
      </c>
      <c r="N421" s="12">
        <v>6315.4467723588232</v>
      </c>
      <c r="O421" s="13">
        <v>0.8888364937683344</v>
      </c>
      <c r="P421" s="9" t="s">
        <v>631</v>
      </c>
      <c r="Q421">
        <v>507.29</v>
      </c>
      <c r="R421">
        <v>507.29</v>
      </c>
      <c r="S421" t="s">
        <v>39</v>
      </c>
      <c r="T421">
        <v>789.84966476617603</v>
      </c>
      <c r="U421">
        <v>9000846.4700000007</v>
      </c>
      <c r="V421">
        <v>14014302.601946261</v>
      </c>
      <c r="W421" t="s">
        <v>30</v>
      </c>
      <c r="X421" t="s">
        <v>57</v>
      </c>
      <c r="Y421" t="s">
        <v>632</v>
      </c>
      <c r="Z421" t="b">
        <v>0</v>
      </c>
      <c r="AA421" t="s">
        <v>565</v>
      </c>
      <c r="AB421" t="s">
        <v>36</v>
      </c>
      <c r="AC421" t="s">
        <v>262</v>
      </c>
    </row>
    <row r="422" spans="2:29" x14ac:dyDescent="0.35">
      <c r="B422" t="s">
        <v>631</v>
      </c>
      <c r="C422">
        <v>318.26</v>
      </c>
      <c r="D422" t="s">
        <v>29</v>
      </c>
      <c r="E422" s="10">
        <v>2956.8780732499999</v>
      </c>
      <c r="F422" t="s">
        <v>30</v>
      </c>
      <c r="G422" s="14">
        <v>46082</v>
      </c>
      <c r="H422">
        <v>19493</v>
      </c>
      <c r="I422">
        <v>6203842.1799999997</v>
      </c>
      <c r="J422">
        <v>363472.46726399998</v>
      </c>
      <c r="K422" t="s">
        <v>54</v>
      </c>
      <c r="L422" s="9" t="s">
        <v>55</v>
      </c>
      <c r="M422" t="s">
        <v>56</v>
      </c>
      <c r="N422" s="12">
        <v>2768.9639490988638</v>
      </c>
      <c r="O422" s="13">
        <v>0.93644847048272317</v>
      </c>
      <c r="P422" s="9" t="s">
        <v>631</v>
      </c>
      <c r="Q422">
        <v>120.69</v>
      </c>
      <c r="R422">
        <v>120.69</v>
      </c>
      <c r="S422" t="s">
        <v>39</v>
      </c>
      <c r="T422">
        <v>187.91412415113601</v>
      </c>
      <c r="U422">
        <v>2349954.9899999998</v>
      </c>
      <c r="V422">
        <v>3658875.9113467694</v>
      </c>
      <c r="W422" t="s">
        <v>30</v>
      </c>
      <c r="X422" t="s">
        <v>57</v>
      </c>
      <c r="Y422" t="s">
        <v>632</v>
      </c>
      <c r="Z422" t="b">
        <v>0</v>
      </c>
      <c r="AA422" t="s">
        <v>565</v>
      </c>
      <c r="AB422" t="s">
        <v>36</v>
      </c>
      <c r="AC422" t="s">
        <v>262</v>
      </c>
    </row>
    <row r="423" spans="2:29" x14ac:dyDescent="0.35">
      <c r="B423" t="s">
        <v>631</v>
      </c>
      <c r="C423">
        <v>268.55</v>
      </c>
      <c r="D423" t="s">
        <v>29</v>
      </c>
      <c r="E423" s="10">
        <v>2495.0342693749999</v>
      </c>
      <c r="F423" t="s">
        <v>30</v>
      </c>
      <c r="G423" s="14">
        <v>46082</v>
      </c>
      <c r="H423">
        <v>2341</v>
      </c>
      <c r="I423">
        <v>628675.55000000005</v>
      </c>
      <c r="J423">
        <v>908681.16816</v>
      </c>
      <c r="K423" t="s">
        <v>54</v>
      </c>
      <c r="L423" s="9" t="s">
        <v>55</v>
      </c>
      <c r="M423" t="s">
        <v>56</v>
      </c>
      <c r="N423" s="12">
        <v>1291.3811679061359</v>
      </c>
      <c r="O423" s="13">
        <v>0.51758053336462739</v>
      </c>
      <c r="P423" s="9" t="s">
        <v>631</v>
      </c>
      <c r="Q423">
        <v>773.06</v>
      </c>
      <c r="R423">
        <v>773.06</v>
      </c>
      <c r="S423" t="s">
        <v>39</v>
      </c>
      <c r="T423">
        <v>1203.653101468864</v>
      </c>
      <c r="U423">
        <v>6645223.7599999998</v>
      </c>
      <c r="V423">
        <v>10346602.060226355</v>
      </c>
      <c r="W423" t="s">
        <v>30</v>
      </c>
      <c r="X423" t="s">
        <v>57</v>
      </c>
      <c r="Y423" t="s">
        <v>632</v>
      </c>
      <c r="Z423" t="b">
        <v>0</v>
      </c>
      <c r="AA423" t="s">
        <v>565</v>
      </c>
      <c r="AB423" t="s">
        <v>36</v>
      </c>
      <c r="AC423" t="s">
        <v>262</v>
      </c>
    </row>
    <row r="424" spans="2:29" x14ac:dyDescent="0.35">
      <c r="B424" t="s">
        <v>631</v>
      </c>
      <c r="C424">
        <v>459.97</v>
      </c>
      <c r="D424" t="s">
        <v>29</v>
      </c>
      <c r="E424" s="10">
        <v>4273.4720271249998</v>
      </c>
      <c r="F424" t="s">
        <v>30</v>
      </c>
      <c r="G424" s="14">
        <v>46082</v>
      </c>
      <c r="H424">
        <v>2773</v>
      </c>
      <c r="I424">
        <v>1275496.81</v>
      </c>
      <c r="J424">
        <v>636076.81771199999</v>
      </c>
      <c r="K424" t="s">
        <v>54</v>
      </c>
      <c r="L424" s="9" t="s">
        <v>55</v>
      </c>
      <c r="M424" t="s">
        <v>56</v>
      </c>
      <c r="N424" s="12">
        <v>3582.5696039679437</v>
      </c>
      <c r="O424" s="13">
        <v>0.83832761305755776</v>
      </c>
      <c r="P424" s="9" t="s">
        <v>631</v>
      </c>
      <c r="Q424">
        <v>443.74</v>
      </c>
      <c r="R424">
        <v>443.74</v>
      </c>
      <c r="S424" t="s">
        <v>39</v>
      </c>
      <c r="T424">
        <v>690.90242315705598</v>
      </c>
      <c r="U424">
        <v>6029982.8600000003</v>
      </c>
      <c r="V424">
        <v>9388673.0282812342</v>
      </c>
      <c r="W424" t="s">
        <v>30</v>
      </c>
      <c r="X424" t="s">
        <v>57</v>
      </c>
      <c r="Y424" t="s">
        <v>632</v>
      </c>
      <c r="Z424" t="b">
        <v>0</v>
      </c>
      <c r="AA424" t="s">
        <v>565</v>
      </c>
      <c r="AB424" t="s">
        <v>36</v>
      </c>
      <c r="AC424" t="s">
        <v>262</v>
      </c>
    </row>
    <row r="425" spans="2:29" x14ac:dyDescent="0.35">
      <c r="B425" t="s">
        <v>631</v>
      </c>
      <c r="C425">
        <v>877.03</v>
      </c>
      <c r="D425" t="s">
        <v>29</v>
      </c>
      <c r="E425" s="10">
        <v>8148.2774353749992</v>
      </c>
      <c r="F425" t="s">
        <v>30</v>
      </c>
      <c r="G425" s="14">
        <v>46082</v>
      </c>
      <c r="H425">
        <v>18140</v>
      </c>
      <c r="I425">
        <v>15909324.199999999</v>
      </c>
      <c r="J425">
        <v>90868.116815999994</v>
      </c>
      <c r="K425" t="s">
        <v>54</v>
      </c>
      <c r="L425" s="9" t="s">
        <v>55</v>
      </c>
      <c r="M425" t="s">
        <v>56</v>
      </c>
      <c r="N425" s="12">
        <v>7887.0598315235111</v>
      </c>
      <c r="O425" s="13">
        <v>0.96794198455768876</v>
      </c>
      <c r="P425" s="9" t="s">
        <v>631</v>
      </c>
      <c r="Q425">
        <v>167.77</v>
      </c>
      <c r="R425">
        <v>167.77</v>
      </c>
      <c r="S425" t="s">
        <v>39</v>
      </c>
      <c r="T425">
        <v>261.21760385148804</v>
      </c>
      <c r="U425">
        <v>2886650.62</v>
      </c>
      <c r="V425">
        <v>4494510.0918687033</v>
      </c>
      <c r="W425" t="s">
        <v>30</v>
      </c>
      <c r="X425" t="s">
        <v>57</v>
      </c>
      <c r="Y425" t="s">
        <v>632</v>
      </c>
      <c r="Z425" t="b">
        <v>0</v>
      </c>
      <c r="AA425" t="s">
        <v>565</v>
      </c>
      <c r="AB425" t="s">
        <v>36</v>
      </c>
      <c r="AC425" t="s">
        <v>262</v>
      </c>
    </row>
    <row r="426" spans="2:29" x14ac:dyDescent="0.35">
      <c r="B426" t="s">
        <v>633</v>
      </c>
      <c r="C426">
        <v>666.7</v>
      </c>
      <c r="D426" t="s">
        <v>29</v>
      </c>
      <c r="E426" s="10">
        <v>6194.1513587500003</v>
      </c>
      <c r="F426" t="s">
        <v>30</v>
      </c>
      <c r="G426" s="14">
        <v>46082</v>
      </c>
      <c r="H426">
        <v>6880</v>
      </c>
      <c r="I426">
        <v>4586896</v>
      </c>
      <c r="J426">
        <v>157422.67980000001</v>
      </c>
      <c r="K426" t="s">
        <v>54</v>
      </c>
      <c r="L426" s="9" t="s">
        <v>55</v>
      </c>
      <c r="M426" t="s">
        <v>56</v>
      </c>
      <c r="N426" s="12">
        <v>5786.4669253443044</v>
      </c>
      <c r="O426" s="13">
        <v>0.93418235851957487</v>
      </c>
      <c r="P426" s="9" t="s">
        <v>633</v>
      </c>
      <c r="Q426">
        <v>261.83999999999997</v>
      </c>
      <c r="R426">
        <v>261.83999999999997</v>
      </c>
      <c r="S426" t="s">
        <v>39</v>
      </c>
      <c r="T426">
        <v>407.68443340569598</v>
      </c>
      <c r="U426">
        <v>510587.99999999994</v>
      </c>
      <c r="V426">
        <v>794984.64514110715</v>
      </c>
      <c r="W426" t="s">
        <v>30</v>
      </c>
      <c r="X426" t="s">
        <v>57</v>
      </c>
      <c r="Y426" t="s">
        <v>634</v>
      </c>
      <c r="Z426" t="b">
        <v>0</v>
      </c>
      <c r="AA426" t="s">
        <v>565</v>
      </c>
      <c r="AB426" t="s">
        <v>36</v>
      </c>
      <c r="AC426" t="s">
        <v>635</v>
      </c>
    </row>
    <row r="427" spans="2:29" x14ac:dyDescent="0.35">
      <c r="B427" t="s">
        <v>636</v>
      </c>
      <c r="C427">
        <v>797.43</v>
      </c>
      <c r="D427" t="s">
        <v>29</v>
      </c>
      <c r="E427" s="10">
        <v>7408.7327403749996</v>
      </c>
      <c r="F427" t="s">
        <v>30</v>
      </c>
      <c r="G427" s="14">
        <v>46082</v>
      </c>
      <c r="H427">
        <v>3671</v>
      </c>
      <c r="I427">
        <v>2927365.53</v>
      </c>
      <c r="J427">
        <v>37585.779693750002</v>
      </c>
      <c r="K427" t="s">
        <v>54</v>
      </c>
      <c r="L427" s="9" t="s">
        <v>55</v>
      </c>
      <c r="M427" t="s">
        <v>56</v>
      </c>
      <c r="N427" s="12">
        <v>6235.7836452717038</v>
      </c>
      <c r="O427" s="13">
        <v>0.84168019873208089</v>
      </c>
      <c r="P427" s="9" t="s">
        <v>636</v>
      </c>
      <c r="Q427">
        <v>753.34</v>
      </c>
      <c r="R427">
        <v>753.34</v>
      </c>
      <c r="S427" t="s">
        <v>39</v>
      </c>
      <c r="T427">
        <v>1172.949095103296</v>
      </c>
      <c r="U427">
        <v>12018786.360000001</v>
      </c>
      <c r="V427">
        <v>18713229.863277987</v>
      </c>
      <c r="W427" t="s">
        <v>30</v>
      </c>
      <c r="X427" t="s">
        <v>57</v>
      </c>
      <c r="Y427" t="s">
        <v>503</v>
      </c>
      <c r="Z427" t="b">
        <v>0</v>
      </c>
      <c r="AA427" t="s">
        <v>565</v>
      </c>
      <c r="AB427" t="s">
        <v>36</v>
      </c>
      <c r="AC427" t="s">
        <v>500</v>
      </c>
    </row>
    <row r="428" spans="2:29" x14ac:dyDescent="0.35">
      <c r="B428" t="s">
        <v>637</v>
      </c>
      <c r="C428">
        <v>72.25</v>
      </c>
      <c r="D428" t="s">
        <v>29</v>
      </c>
      <c r="E428" s="10">
        <v>671.25759062499992</v>
      </c>
      <c r="F428" t="s">
        <v>30</v>
      </c>
      <c r="G428" s="14">
        <v>46082</v>
      </c>
      <c r="H428">
        <v>600</v>
      </c>
      <c r="I428">
        <v>43350</v>
      </c>
      <c r="J428">
        <v>141936.83686499999</v>
      </c>
      <c r="K428" t="s">
        <v>54</v>
      </c>
      <c r="L428" s="9" t="s">
        <v>55</v>
      </c>
      <c r="M428" t="s">
        <v>56</v>
      </c>
      <c r="N428" s="12">
        <v>296.72824900348019</v>
      </c>
      <c r="O428" s="13">
        <v>0.44204825859354535</v>
      </c>
      <c r="P428" s="9" t="s">
        <v>637</v>
      </c>
      <c r="Q428">
        <v>621.70000000000005</v>
      </c>
      <c r="R428">
        <v>621.70000000000005</v>
      </c>
      <c r="S428" t="s">
        <v>39</v>
      </c>
      <c r="T428">
        <v>967.98583962848011</v>
      </c>
      <c r="U428">
        <v>1285675.6000000001</v>
      </c>
      <c r="V428">
        <v>2001794.7163516968</v>
      </c>
      <c r="W428" t="s">
        <v>30</v>
      </c>
      <c r="X428" t="s">
        <v>57</v>
      </c>
      <c r="Y428" t="s">
        <v>503</v>
      </c>
      <c r="Z428" t="b">
        <v>0</v>
      </c>
      <c r="AA428" t="s">
        <v>565</v>
      </c>
      <c r="AB428" t="s">
        <v>36</v>
      </c>
      <c r="AC428" t="s">
        <v>158</v>
      </c>
    </row>
    <row r="429" spans="2:29" x14ac:dyDescent="0.35">
      <c r="B429" t="s">
        <v>638</v>
      </c>
      <c r="C429">
        <v>894.55</v>
      </c>
      <c r="D429" t="s">
        <v>29</v>
      </c>
      <c r="E429" s="10">
        <v>8311.0515943749997</v>
      </c>
      <c r="F429" t="s">
        <v>30</v>
      </c>
      <c r="G429" s="14">
        <v>46082</v>
      </c>
      <c r="H429">
        <v>15794</v>
      </c>
      <c r="I429">
        <v>14128522.699999999</v>
      </c>
      <c r="J429">
        <v>64931.280959999996</v>
      </c>
      <c r="K429" t="s">
        <v>54</v>
      </c>
      <c r="L429" s="9" t="s">
        <v>55</v>
      </c>
      <c r="M429" t="s">
        <v>56</v>
      </c>
      <c r="N429" s="12">
        <v>7195.6958661815597</v>
      </c>
      <c r="O429" s="13">
        <v>0.86579848343760446</v>
      </c>
      <c r="P429" s="9" t="s">
        <v>638</v>
      </c>
      <c r="Q429">
        <v>716.35</v>
      </c>
      <c r="R429">
        <v>716.35</v>
      </c>
      <c r="S429" t="s">
        <v>39</v>
      </c>
      <c r="T429">
        <v>1115.35572819344</v>
      </c>
      <c r="U429">
        <v>1694167.75</v>
      </c>
      <c r="V429">
        <v>2637816.2971774857</v>
      </c>
      <c r="W429" t="s">
        <v>30</v>
      </c>
      <c r="X429" t="s">
        <v>57</v>
      </c>
      <c r="Y429" t="s">
        <v>639</v>
      </c>
      <c r="Z429" t="b">
        <v>0</v>
      </c>
      <c r="AA429" t="s">
        <v>565</v>
      </c>
      <c r="AB429" t="s">
        <v>36</v>
      </c>
      <c r="AC429" t="s">
        <v>640</v>
      </c>
    </row>
    <row r="430" spans="2:29" x14ac:dyDescent="0.35">
      <c r="B430" t="s">
        <v>641</v>
      </c>
      <c r="C430">
        <v>253.96</v>
      </c>
      <c r="D430" t="s">
        <v>29</v>
      </c>
      <c r="E430" s="10">
        <v>2359.4820445</v>
      </c>
      <c r="F430" t="s">
        <v>30</v>
      </c>
      <c r="G430" s="14">
        <v>46082</v>
      </c>
      <c r="H430">
        <v>9619</v>
      </c>
      <c r="I430">
        <v>2442841.2400000002</v>
      </c>
      <c r="J430">
        <v>49612.671750000001</v>
      </c>
      <c r="K430" t="s">
        <v>54</v>
      </c>
      <c r="L430" s="9" t="s">
        <v>55</v>
      </c>
      <c r="M430" t="s">
        <v>56</v>
      </c>
      <c r="N430" s="12">
        <v>2293.0293572950081</v>
      </c>
      <c r="O430" s="13">
        <v>0.97183590044268642</v>
      </c>
      <c r="P430" s="9" t="s">
        <v>641</v>
      </c>
      <c r="Q430">
        <v>42.68</v>
      </c>
      <c r="R430">
        <v>42.68</v>
      </c>
      <c r="S430" t="s">
        <v>39</v>
      </c>
      <c r="T430">
        <v>66.452687204992003</v>
      </c>
      <c r="U430">
        <v>205333.48</v>
      </c>
      <c r="V430">
        <v>319703.87814321654</v>
      </c>
      <c r="W430" t="s">
        <v>30</v>
      </c>
      <c r="X430" t="s">
        <v>57</v>
      </c>
      <c r="Y430" t="s">
        <v>642</v>
      </c>
      <c r="Z430" t="b">
        <v>0</v>
      </c>
      <c r="AA430" t="s">
        <v>565</v>
      </c>
      <c r="AB430" t="s">
        <v>36</v>
      </c>
      <c r="AC430" t="s">
        <v>59</v>
      </c>
    </row>
    <row r="431" spans="2:29" x14ac:dyDescent="0.35">
      <c r="B431" t="s">
        <v>643</v>
      </c>
      <c r="C431">
        <v>23.51</v>
      </c>
      <c r="D431" t="s">
        <v>29</v>
      </c>
      <c r="E431" s="10">
        <v>218.42582637500001</v>
      </c>
      <c r="F431" t="s">
        <v>30</v>
      </c>
      <c r="G431" s="14">
        <v>46082</v>
      </c>
      <c r="H431">
        <v>5455</v>
      </c>
      <c r="I431">
        <v>128247.05</v>
      </c>
      <c r="J431">
        <v>56431.348164000003</v>
      </c>
      <c r="K431" t="s">
        <v>54</v>
      </c>
      <c r="L431" s="9" t="s">
        <v>55</v>
      </c>
      <c r="M431" t="s">
        <v>56</v>
      </c>
      <c r="N431" s="12">
        <v>870.08725122298392</v>
      </c>
      <c r="O431" s="13">
        <v>3.9834449326023931</v>
      </c>
      <c r="P431" s="9" t="s">
        <v>643</v>
      </c>
      <c r="Q431">
        <v>699.11</v>
      </c>
      <c r="R431">
        <v>699.11</v>
      </c>
      <c r="S431" t="s">
        <v>39</v>
      </c>
      <c r="T431">
        <v>1088.513077597984</v>
      </c>
      <c r="U431">
        <v>10431420.310000001</v>
      </c>
      <c r="V431">
        <v>16241703.630839519</v>
      </c>
      <c r="W431" t="s">
        <v>30</v>
      </c>
      <c r="X431" t="s">
        <v>57</v>
      </c>
      <c r="Y431" t="s">
        <v>644</v>
      </c>
      <c r="Z431" t="b">
        <v>0</v>
      </c>
      <c r="AA431" t="s">
        <v>565</v>
      </c>
      <c r="AB431" t="s">
        <v>36</v>
      </c>
      <c r="AC431" t="s">
        <v>59</v>
      </c>
    </row>
    <row r="432" spans="2:29" x14ac:dyDescent="0.35">
      <c r="B432" t="s">
        <v>645</v>
      </c>
      <c r="C432">
        <v>222.62</v>
      </c>
      <c r="D432" t="s">
        <v>29</v>
      </c>
      <c r="E432" s="10">
        <v>2068.3095477500001</v>
      </c>
      <c r="F432" t="s">
        <v>30</v>
      </c>
      <c r="G432" s="14">
        <v>46082</v>
      </c>
      <c r="H432">
        <v>9898</v>
      </c>
      <c r="I432">
        <v>2203492.7600000002</v>
      </c>
      <c r="J432">
        <v>235385.64878062499</v>
      </c>
      <c r="K432" t="s">
        <v>54</v>
      </c>
      <c r="L432" s="9" t="s">
        <v>55</v>
      </c>
      <c r="M432" t="s">
        <v>56</v>
      </c>
      <c r="N432" s="12">
        <v>981.27561853169618</v>
      </c>
      <c r="O432" s="13">
        <v>0.47443363571916586</v>
      </c>
      <c r="P432" s="9" t="s">
        <v>645</v>
      </c>
      <c r="Q432">
        <v>698.16</v>
      </c>
      <c r="R432">
        <v>698.16</v>
      </c>
      <c r="S432" t="s">
        <v>39</v>
      </c>
      <c r="T432">
        <v>1087.0339292183039</v>
      </c>
      <c r="U432">
        <v>13829153.279999999</v>
      </c>
      <c r="V432">
        <v>21531968.069956165</v>
      </c>
      <c r="W432" t="s">
        <v>30</v>
      </c>
      <c r="X432" t="s">
        <v>57</v>
      </c>
      <c r="Y432" t="s">
        <v>644</v>
      </c>
      <c r="Z432" t="b">
        <v>0</v>
      </c>
      <c r="AA432" t="s">
        <v>565</v>
      </c>
      <c r="AB432" t="s">
        <v>36</v>
      </c>
      <c r="AC432" t="s">
        <v>59</v>
      </c>
    </row>
    <row r="433" spans="2:29" x14ac:dyDescent="0.35">
      <c r="B433" t="s">
        <v>645</v>
      </c>
      <c r="C433">
        <v>24.12</v>
      </c>
      <c r="D433" t="s">
        <v>29</v>
      </c>
      <c r="E433" s="10">
        <v>224.09319149999999</v>
      </c>
      <c r="F433" t="s">
        <v>30</v>
      </c>
      <c r="G433" s="14">
        <v>46082</v>
      </c>
      <c r="H433">
        <v>3785</v>
      </c>
      <c r="I433">
        <v>91294.2</v>
      </c>
      <c r="J433">
        <v>47077.129756125003</v>
      </c>
      <c r="K433" t="s">
        <v>54</v>
      </c>
      <c r="L433" s="9" t="s">
        <v>55</v>
      </c>
      <c r="M433" t="s">
        <v>56</v>
      </c>
      <c r="N433" s="12">
        <v>678.96581925200007</v>
      </c>
      <c r="O433" s="13">
        <v>3.0298368937817557</v>
      </c>
      <c r="P433" s="9" t="s">
        <v>645</v>
      </c>
      <c r="Q433">
        <v>580</v>
      </c>
      <c r="R433">
        <v>580</v>
      </c>
      <c r="S433" t="s">
        <v>39</v>
      </c>
      <c r="T433">
        <v>903.05901075200006</v>
      </c>
      <c r="U433">
        <v>9854200</v>
      </c>
      <c r="V433">
        <v>15342972.592676481</v>
      </c>
      <c r="W433" t="s">
        <v>30</v>
      </c>
      <c r="X433" t="s">
        <v>57</v>
      </c>
      <c r="Y433" t="s">
        <v>644</v>
      </c>
      <c r="Z433" t="b">
        <v>0</v>
      </c>
      <c r="AA433" t="s">
        <v>565</v>
      </c>
      <c r="AB433" t="s">
        <v>36</v>
      </c>
      <c r="AC433" t="s">
        <v>59</v>
      </c>
    </row>
    <row r="434" spans="2:29" x14ac:dyDescent="0.35">
      <c r="B434" t="s">
        <v>645</v>
      </c>
      <c r="C434">
        <v>196.62</v>
      </c>
      <c r="D434" t="s">
        <v>29</v>
      </c>
      <c r="E434" s="10">
        <v>1826.74972275</v>
      </c>
      <c r="F434" t="s">
        <v>30</v>
      </c>
      <c r="G434" s="14">
        <v>46082</v>
      </c>
      <c r="H434">
        <v>16881</v>
      </c>
      <c r="I434">
        <v>3319142.22</v>
      </c>
      <c r="J434">
        <v>62769.506341499997</v>
      </c>
      <c r="K434" t="s">
        <v>54</v>
      </c>
      <c r="L434" s="9" t="s">
        <v>55</v>
      </c>
      <c r="M434" t="s">
        <v>56</v>
      </c>
      <c r="N434" s="12">
        <v>390.62120594427211</v>
      </c>
      <c r="O434" s="13">
        <v>0.21383400313658107</v>
      </c>
      <c r="P434" s="9" t="s">
        <v>645</v>
      </c>
      <c r="Q434">
        <v>922.37</v>
      </c>
      <c r="R434">
        <v>922.37</v>
      </c>
      <c r="S434" t="s">
        <v>39</v>
      </c>
      <c r="T434">
        <v>1436.1285168057279</v>
      </c>
      <c r="U434">
        <v>17953932.050000001</v>
      </c>
      <c r="V434">
        <v>27954241.579623494</v>
      </c>
      <c r="W434" t="s">
        <v>30</v>
      </c>
      <c r="X434" t="s">
        <v>57</v>
      </c>
      <c r="Y434" t="s">
        <v>644</v>
      </c>
      <c r="Z434" t="b">
        <v>0</v>
      </c>
      <c r="AA434" t="s">
        <v>565</v>
      </c>
      <c r="AB434" t="s">
        <v>36</v>
      </c>
      <c r="AC434" t="s">
        <v>59</v>
      </c>
    </row>
    <row r="435" spans="2:29" x14ac:dyDescent="0.35">
      <c r="B435" t="s">
        <v>645</v>
      </c>
      <c r="C435">
        <v>133.19</v>
      </c>
      <c r="D435" t="s">
        <v>29</v>
      </c>
      <c r="E435" s="10">
        <v>1237.4366573749999</v>
      </c>
      <c r="F435" t="s">
        <v>30</v>
      </c>
      <c r="G435" s="14">
        <v>46082</v>
      </c>
      <c r="H435">
        <v>14590</v>
      </c>
      <c r="I435">
        <v>1943242.0999999999</v>
      </c>
      <c r="J435">
        <v>219693.27219525</v>
      </c>
      <c r="K435" t="s">
        <v>54</v>
      </c>
      <c r="L435" s="9" t="s">
        <v>55</v>
      </c>
      <c r="M435" t="s">
        <v>56</v>
      </c>
      <c r="N435" s="12">
        <v>115.4235906462161</v>
      </c>
      <c r="O435" s="13">
        <v>9.3276362841122354E-2</v>
      </c>
      <c r="P435" s="9" t="s">
        <v>645</v>
      </c>
      <c r="Q435">
        <v>868.89</v>
      </c>
      <c r="R435">
        <v>868.89</v>
      </c>
      <c r="S435" t="s">
        <v>39</v>
      </c>
      <c r="T435">
        <v>1352.860248021216</v>
      </c>
      <c r="U435">
        <v>561302.93999999994</v>
      </c>
      <c r="V435">
        <v>873947.7202217055</v>
      </c>
      <c r="W435" t="s">
        <v>30</v>
      </c>
      <c r="X435" t="s">
        <v>57</v>
      </c>
      <c r="Y435" t="s">
        <v>644</v>
      </c>
      <c r="Z435" t="b">
        <v>0</v>
      </c>
      <c r="AA435" t="s">
        <v>565</v>
      </c>
      <c r="AB435" t="s">
        <v>36</v>
      </c>
      <c r="AC435" t="s">
        <v>59</v>
      </c>
    </row>
    <row r="436" spans="2:29" x14ac:dyDescent="0.35">
      <c r="B436" t="s">
        <v>646</v>
      </c>
      <c r="C436">
        <v>50.52</v>
      </c>
      <c r="D436" t="s">
        <v>29</v>
      </c>
      <c r="E436" s="10">
        <v>469.36932150000001</v>
      </c>
      <c r="F436" t="s">
        <v>30</v>
      </c>
      <c r="G436" s="14">
        <v>46082</v>
      </c>
      <c r="H436">
        <v>7374</v>
      </c>
      <c r="I436">
        <v>372534.48000000004</v>
      </c>
      <c r="J436">
        <v>23336.5372475</v>
      </c>
      <c r="K436" t="s">
        <v>54</v>
      </c>
      <c r="L436" s="9" t="s">
        <v>55</v>
      </c>
      <c r="M436" t="s">
        <v>56</v>
      </c>
      <c r="N436" s="12">
        <v>367.25257202995209</v>
      </c>
      <c r="O436" s="13">
        <v>0.78243838105203489</v>
      </c>
      <c r="P436" s="9" t="s">
        <v>646</v>
      </c>
      <c r="Q436">
        <v>537.33000000000004</v>
      </c>
      <c r="R436">
        <v>537.33000000000004</v>
      </c>
      <c r="S436" t="s">
        <v>39</v>
      </c>
      <c r="T436">
        <v>836.6218935299521</v>
      </c>
      <c r="U436">
        <v>8900334.120000001</v>
      </c>
      <c r="V436">
        <v>13857805.044430127</v>
      </c>
      <c r="W436" t="s">
        <v>30</v>
      </c>
      <c r="X436" t="s">
        <v>57</v>
      </c>
      <c r="Y436" t="s">
        <v>644</v>
      </c>
      <c r="Z436" t="b">
        <v>0</v>
      </c>
      <c r="AA436" t="s">
        <v>565</v>
      </c>
      <c r="AB436" t="s">
        <v>36</v>
      </c>
      <c r="AC436" t="s">
        <v>59</v>
      </c>
    </row>
    <row r="437" spans="2:29" x14ac:dyDescent="0.35">
      <c r="B437" t="s">
        <v>647</v>
      </c>
      <c r="C437">
        <v>673.49</v>
      </c>
      <c r="D437" t="s">
        <v>29</v>
      </c>
      <c r="E437" s="10">
        <v>6257.2356361249995</v>
      </c>
      <c r="F437" t="s">
        <v>30</v>
      </c>
      <c r="G437" s="14">
        <v>46082</v>
      </c>
      <c r="H437">
        <v>8781</v>
      </c>
      <c r="I437">
        <v>5913915.6900000004</v>
      </c>
      <c r="J437">
        <v>170020.95374999999</v>
      </c>
      <c r="K437" t="s">
        <v>54</v>
      </c>
      <c r="L437" s="9" t="s">
        <v>55</v>
      </c>
      <c r="M437" t="s">
        <v>56</v>
      </c>
      <c r="N437" s="12">
        <v>5850.9369312013196</v>
      </c>
      <c r="O437" s="13">
        <v>0.93506737982217114</v>
      </c>
      <c r="P437" s="9" t="s">
        <v>647</v>
      </c>
      <c r="Q437">
        <v>260.95</v>
      </c>
      <c r="R437">
        <v>260.95</v>
      </c>
      <c r="S437" t="s">
        <v>39</v>
      </c>
      <c r="T437">
        <v>406.29870492368002</v>
      </c>
      <c r="U437">
        <v>993958.54999999993</v>
      </c>
      <c r="V437">
        <v>1547591.7670542973</v>
      </c>
      <c r="W437" t="s">
        <v>30</v>
      </c>
      <c r="X437" t="s">
        <v>57</v>
      </c>
      <c r="Y437" t="s">
        <v>627</v>
      </c>
      <c r="Z437" t="b">
        <v>0</v>
      </c>
      <c r="AA437" t="s">
        <v>565</v>
      </c>
      <c r="AB437" t="s">
        <v>36</v>
      </c>
      <c r="AC437" t="s">
        <v>187</v>
      </c>
    </row>
    <row r="438" spans="2:29" x14ac:dyDescent="0.35">
      <c r="B438" t="s">
        <v>647</v>
      </c>
      <c r="C438">
        <v>595.91999999999996</v>
      </c>
      <c r="D438" t="s">
        <v>29</v>
      </c>
      <c r="E438" s="10">
        <v>5536.5511889999998</v>
      </c>
      <c r="F438" t="s">
        <v>30</v>
      </c>
      <c r="G438" s="14">
        <v>46082</v>
      </c>
      <c r="H438">
        <v>19234</v>
      </c>
      <c r="I438">
        <v>11461925.279999999</v>
      </c>
      <c r="J438">
        <v>34004.190750000002</v>
      </c>
      <c r="K438" t="s">
        <v>54</v>
      </c>
      <c r="L438" s="9" t="s">
        <v>55</v>
      </c>
      <c r="M438" t="s">
        <v>56</v>
      </c>
      <c r="N438" s="12">
        <v>4622.7333200336961</v>
      </c>
      <c r="O438" s="13">
        <v>0.83494817662268273</v>
      </c>
      <c r="P438" s="9" t="s">
        <v>647</v>
      </c>
      <c r="Q438">
        <v>586.91</v>
      </c>
      <c r="R438">
        <v>586.91</v>
      </c>
      <c r="S438" t="s">
        <v>39</v>
      </c>
      <c r="T438">
        <v>913.81786896630399</v>
      </c>
      <c r="U438">
        <v>9566046.0899999999</v>
      </c>
      <c r="V438">
        <v>14894317.446281789</v>
      </c>
      <c r="W438" t="s">
        <v>30</v>
      </c>
      <c r="X438" t="s">
        <v>57</v>
      </c>
      <c r="Y438" t="s">
        <v>627</v>
      </c>
      <c r="Z438" t="b">
        <v>0</v>
      </c>
      <c r="AA438" t="s">
        <v>565</v>
      </c>
      <c r="AB438" t="s">
        <v>36</v>
      </c>
      <c r="AC438" t="s">
        <v>187</v>
      </c>
    </row>
    <row r="439" spans="2:29" x14ac:dyDescent="0.35">
      <c r="B439" t="s">
        <v>647</v>
      </c>
      <c r="C439">
        <v>254.28</v>
      </c>
      <c r="D439" t="s">
        <v>29</v>
      </c>
      <c r="E439" s="10">
        <v>2362.4550884999999</v>
      </c>
      <c r="F439" t="s">
        <v>30</v>
      </c>
      <c r="G439" s="14">
        <v>46082</v>
      </c>
      <c r="H439">
        <v>19691</v>
      </c>
      <c r="I439">
        <v>5007027.4800000004</v>
      </c>
      <c r="J439">
        <v>170020.95374999999</v>
      </c>
      <c r="K439" t="s">
        <v>54</v>
      </c>
      <c r="L439" s="9" t="s">
        <v>55</v>
      </c>
      <c r="M439" t="s">
        <v>56</v>
      </c>
      <c r="N439" s="12">
        <v>1191.6857910088638</v>
      </c>
      <c r="O439" s="13">
        <v>0.50442685527008435</v>
      </c>
      <c r="P439" s="9" t="s">
        <v>647</v>
      </c>
      <c r="Q439">
        <v>751.94</v>
      </c>
      <c r="R439">
        <v>751.94</v>
      </c>
      <c r="S439" t="s">
        <v>39</v>
      </c>
      <c r="T439">
        <v>1170.7692974911361</v>
      </c>
      <c r="U439">
        <v>2968659.12</v>
      </c>
      <c r="V439">
        <v>4622197.1864950052</v>
      </c>
      <c r="W439" t="s">
        <v>30</v>
      </c>
      <c r="X439" t="s">
        <v>57</v>
      </c>
      <c r="Y439" t="s">
        <v>627</v>
      </c>
      <c r="Z439" t="b">
        <v>0</v>
      </c>
      <c r="AA439" t="s">
        <v>565</v>
      </c>
      <c r="AB439" t="s">
        <v>36</v>
      </c>
      <c r="AC439" t="s">
        <v>187</v>
      </c>
    </row>
    <row r="440" spans="2:29" x14ac:dyDescent="0.35">
      <c r="B440" t="s">
        <v>648</v>
      </c>
      <c r="C440">
        <v>179.9</v>
      </c>
      <c r="D440" t="s">
        <v>29</v>
      </c>
      <c r="E440" s="10">
        <v>1671.4081737500001</v>
      </c>
      <c r="F440" t="s">
        <v>30</v>
      </c>
      <c r="G440" s="14">
        <v>46082</v>
      </c>
      <c r="H440">
        <v>10458</v>
      </c>
      <c r="I440">
        <v>1881394.2</v>
      </c>
      <c r="J440">
        <v>134084.2844</v>
      </c>
      <c r="K440" t="s">
        <v>54</v>
      </c>
      <c r="L440" s="9" t="s">
        <v>55</v>
      </c>
      <c r="M440" t="s">
        <v>56</v>
      </c>
      <c r="N440" s="12">
        <v>1442.4360045755361</v>
      </c>
      <c r="O440" s="13">
        <v>0.86300643207892302</v>
      </c>
      <c r="P440" s="9" t="s">
        <v>648</v>
      </c>
      <c r="Q440">
        <v>147.06</v>
      </c>
      <c r="R440">
        <v>147.06</v>
      </c>
      <c r="S440" t="s">
        <v>39</v>
      </c>
      <c r="T440">
        <v>228.972169174464</v>
      </c>
      <c r="U440">
        <v>2668403.7000000002</v>
      </c>
      <c r="V440">
        <v>4154700.0096706492</v>
      </c>
      <c r="W440" t="s">
        <v>30</v>
      </c>
      <c r="X440" t="s">
        <v>57</v>
      </c>
      <c r="Y440" t="s">
        <v>629</v>
      </c>
      <c r="Z440" t="b">
        <v>0</v>
      </c>
      <c r="AA440" t="s">
        <v>565</v>
      </c>
      <c r="AB440" t="s">
        <v>36</v>
      </c>
      <c r="AC440" t="s">
        <v>187</v>
      </c>
    </row>
    <row r="441" spans="2:29" x14ac:dyDescent="0.35">
      <c r="B441" t="s">
        <v>648</v>
      </c>
      <c r="C441">
        <v>774.65</v>
      </c>
      <c r="D441" t="s">
        <v>29</v>
      </c>
      <c r="E441" s="10">
        <v>7197.0891706249995</v>
      </c>
      <c r="F441" t="s">
        <v>30</v>
      </c>
      <c r="G441" s="14">
        <v>46082</v>
      </c>
      <c r="H441">
        <v>6182</v>
      </c>
      <c r="I441">
        <v>4788886.3</v>
      </c>
      <c r="J441">
        <v>33521.071100000001</v>
      </c>
      <c r="K441" t="s">
        <v>54</v>
      </c>
      <c r="L441" s="9" t="s">
        <v>55</v>
      </c>
      <c r="M441" t="s">
        <v>56</v>
      </c>
      <c r="N441" s="12">
        <v>7008.8636468149834</v>
      </c>
      <c r="O441" s="13">
        <v>0.97384699295122523</v>
      </c>
      <c r="P441" s="9" t="s">
        <v>648</v>
      </c>
      <c r="Q441">
        <v>120.89</v>
      </c>
      <c r="R441">
        <v>120.89</v>
      </c>
      <c r="S441" t="s">
        <v>39</v>
      </c>
      <c r="T441">
        <v>188.225523810016</v>
      </c>
      <c r="U441">
        <v>449831.69</v>
      </c>
      <c r="V441">
        <v>700387.17409706954</v>
      </c>
      <c r="W441" t="s">
        <v>30</v>
      </c>
      <c r="X441" t="s">
        <v>57</v>
      </c>
      <c r="Y441" t="s">
        <v>629</v>
      </c>
      <c r="Z441" t="b">
        <v>0</v>
      </c>
      <c r="AA441" t="s">
        <v>565</v>
      </c>
      <c r="AB441" t="s">
        <v>36</v>
      </c>
      <c r="AC441" t="s">
        <v>187</v>
      </c>
    </row>
    <row r="442" spans="2:29" x14ac:dyDescent="0.35">
      <c r="B442" t="s">
        <v>648</v>
      </c>
      <c r="C442">
        <v>696.63</v>
      </c>
      <c r="D442" t="s">
        <v>29</v>
      </c>
      <c r="E442" s="10">
        <v>6472.2238803749997</v>
      </c>
      <c r="F442" t="s">
        <v>30</v>
      </c>
      <c r="G442" s="14">
        <v>46082</v>
      </c>
      <c r="H442">
        <v>7356</v>
      </c>
      <c r="I442">
        <v>5124410.28</v>
      </c>
      <c r="J442">
        <v>150844.81995</v>
      </c>
      <c r="K442" t="s">
        <v>54</v>
      </c>
      <c r="L442" s="9" t="s">
        <v>55</v>
      </c>
      <c r="M442" t="s">
        <v>56</v>
      </c>
      <c r="N442" s="12">
        <v>5845.29851713484</v>
      </c>
      <c r="O442" s="13">
        <v>0.90313602019529715</v>
      </c>
      <c r="P442" s="9" t="s">
        <v>648</v>
      </c>
      <c r="Q442">
        <v>402.65</v>
      </c>
      <c r="R442">
        <v>402.65</v>
      </c>
      <c r="S442" t="s">
        <v>39</v>
      </c>
      <c r="T442">
        <v>626.92536324015998</v>
      </c>
      <c r="U442">
        <v>1477322.8499999999</v>
      </c>
      <c r="V442">
        <v>2300189.1577281468</v>
      </c>
      <c r="W442" t="s">
        <v>30</v>
      </c>
      <c r="X442" t="s">
        <v>57</v>
      </c>
      <c r="Y442" t="s">
        <v>629</v>
      </c>
      <c r="Z442" t="b">
        <v>0</v>
      </c>
      <c r="AA442" t="s">
        <v>565</v>
      </c>
      <c r="AB442" t="s">
        <v>36</v>
      </c>
      <c r="AC442" t="s">
        <v>187</v>
      </c>
    </row>
    <row r="443" spans="2:29" x14ac:dyDescent="0.35">
      <c r="B443" t="s">
        <v>649</v>
      </c>
      <c r="C443">
        <v>205.92</v>
      </c>
      <c r="D443" t="s">
        <v>29</v>
      </c>
      <c r="E443" s="10">
        <v>1913.1538139999998</v>
      </c>
      <c r="F443" t="s">
        <v>30</v>
      </c>
      <c r="G443" s="14">
        <v>46082</v>
      </c>
      <c r="H443">
        <v>4253</v>
      </c>
      <c r="I443">
        <v>875777.75999999989</v>
      </c>
      <c r="J443">
        <v>113850.67601225</v>
      </c>
      <c r="K443" t="s">
        <v>54</v>
      </c>
      <c r="L443" s="9" t="s">
        <v>55</v>
      </c>
      <c r="M443" t="s">
        <v>56</v>
      </c>
      <c r="N443" s="12">
        <v>865.88562122067174</v>
      </c>
      <c r="O443" s="13">
        <v>0.45259592557813644</v>
      </c>
      <c r="P443" s="9" t="s">
        <v>649</v>
      </c>
      <c r="Q443">
        <v>672.62</v>
      </c>
      <c r="R443">
        <v>672.62</v>
      </c>
      <c r="S443" t="s">
        <v>39</v>
      </c>
      <c r="T443">
        <v>1047.268192779328</v>
      </c>
      <c r="U443">
        <v>6137657.5</v>
      </c>
      <c r="V443">
        <v>9556322.259111369</v>
      </c>
      <c r="W443" t="s">
        <v>30</v>
      </c>
      <c r="X443" t="s">
        <v>57</v>
      </c>
      <c r="Y443" t="s">
        <v>34</v>
      </c>
      <c r="Z443" t="b">
        <v>0</v>
      </c>
      <c r="AA443" t="s">
        <v>565</v>
      </c>
      <c r="AB443" t="s">
        <v>36</v>
      </c>
      <c r="AC443" t="s">
        <v>37</v>
      </c>
    </row>
    <row r="444" spans="2:29" x14ac:dyDescent="0.35">
      <c r="B444" t="s">
        <v>650</v>
      </c>
      <c r="C444">
        <v>995.28</v>
      </c>
      <c r="D444" t="s">
        <v>29</v>
      </c>
      <c r="E444" s="10">
        <v>9246.9101009999995</v>
      </c>
      <c r="F444" t="s">
        <v>30</v>
      </c>
      <c r="G444" s="14">
        <v>46082</v>
      </c>
      <c r="H444">
        <v>16785</v>
      </c>
      <c r="I444">
        <v>16705774.799999999</v>
      </c>
      <c r="J444">
        <v>148726.52609999999</v>
      </c>
      <c r="K444" t="s">
        <v>54</v>
      </c>
      <c r="L444" s="9" t="s">
        <v>55</v>
      </c>
      <c r="M444" t="s">
        <v>56</v>
      </c>
      <c r="N444" s="12">
        <v>7810.096504944735</v>
      </c>
      <c r="O444" s="13">
        <v>0.84461689576717291</v>
      </c>
      <c r="P444" s="9" t="s">
        <v>650</v>
      </c>
      <c r="Q444">
        <v>922.81</v>
      </c>
      <c r="R444">
        <v>922.81</v>
      </c>
      <c r="S444" t="s">
        <v>39</v>
      </c>
      <c r="T444">
        <v>1436.813596055264</v>
      </c>
      <c r="U444">
        <v>8259149.4999999991</v>
      </c>
      <c r="V444">
        <v>12859481.684694612</v>
      </c>
      <c r="W444" t="s">
        <v>30</v>
      </c>
      <c r="X444" t="s">
        <v>57</v>
      </c>
      <c r="Y444" t="s">
        <v>629</v>
      </c>
      <c r="Z444" t="b">
        <v>0</v>
      </c>
      <c r="AA444" t="s">
        <v>565</v>
      </c>
      <c r="AB444" t="s">
        <v>36</v>
      </c>
      <c r="AC444" t="s">
        <v>187</v>
      </c>
    </row>
    <row r="445" spans="2:29" x14ac:dyDescent="0.35">
      <c r="B445" t="s">
        <v>651</v>
      </c>
      <c r="C445">
        <v>540.03</v>
      </c>
      <c r="D445" t="s">
        <v>29</v>
      </c>
      <c r="E445" s="10">
        <v>5017.290472875</v>
      </c>
      <c r="F445" t="s">
        <v>30</v>
      </c>
      <c r="G445" s="14">
        <v>46082</v>
      </c>
      <c r="H445">
        <v>13432</v>
      </c>
      <c r="I445">
        <v>7253682.96</v>
      </c>
      <c r="J445">
        <v>136574.20874999999</v>
      </c>
      <c r="K445" t="s">
        <v>54</v>
      </c>
      <c r="L445" s="9" t="s">
        <v>55</v>
      </c>
      <c r="M445" t="s">
        <v>56</v>
      </c>
      <c r="N445" s="12">
        <v>4385.4917049733676</v>
      </c>
      <c r="O445" s="13">
        <v>0.87407570454265526</v>
      </c>
      <c r="P445" s="9" t="s">
        <v>651</v>
      </c>
      <c r="Q445">
        <v>405.78</v>
      </c>
      <c r="R445">
        <v>405.78</v>
      </c>
      <c r="S445" t="s">
        <v>39</v>
      </c>
      <c r="T445">
        <v>631.798767901632</v>
      </c>
      <c r="U445">
        <v>2128721.88</v>
      </c>
      <c r="V445">
        <v>3314416.3364119614</v>
      </c>
      <c r="W445" t="s">
        <v>30</v>
      </c>
      <c r="X445" t="s">
        <v>57</v>
      </c>
      <c r="Y445" t="s">
        <v>627</v>
      </c>
      <c r="Z445" t="b">
        <v>0</v>
      </c>
      <c r="AA445" t="s">
        <v>565</v>
      </c>
      <c r="AB445" t="s">
        <v>36</v>
      </c>
      <c r="AC445" t="s">
        <v>187</v>
      </c>
    </row>
    <row r="446" spans="2:29" x14ac:dyDescent="0.35">
      <c r="B446" t="s">
        <v>652</v>
      </c>
      <c r="C446">
        <v>676.87</v>
      </c>
      <c r="D446" t="s">
        <v>29</v>
      </c>
      <c r="E446" s="10">
        <v>6288.6384133749998</v>
      </c>
      <c r="F446" t="s">
        <v>30</v>
      </c>
      <c r="G446" s="14">
        <v>46082</v>
      </c>
      <c r="H446">
        <v>13438</v>
      </c>
      <c r="I446">
        <v>9095779.0600000005</v>
      </c>
      <c r="J446">
        <v>156976.72320000001</v>
      </c>
      <c r="K446" t="s">
        <v>54</v>
      </c>
      <c r="L446" s="9" t="s">
        <v>55</v>
      </c>
      <c r="M446" t="s">
        <v>56</v>
      </c>
      <c r="N446" s="12">
        <v>6110.2375488026482</v>
      </c>
      <c r="O446" s="13">
        <v>0.97163124147940838</v>
      </c>
      <c r="P446" s="9" t="s">
        <v>652</v>
      </c>
      <c r="Q446">
        <v>114.58</v>
      </c>
      <c r="R446">
        <v>114.58</v>
      </c>
      <c r="S446" t="s">
        <v>39</v>
      </c>
      <c r="T446">
        <v>178.40086457235199</v>
      </c>
      <c r="U446">
        <v>1156685.1000000001</v>
      </c>
      <c r="V446">
        <v>1800956.7278578933</v>
      </c>
      <c r="W446" t="s">
        <v>30</v>
      </c>
      <c r="X446" t="s">
        <v>57</v>
      </c>
      <c r="Y446" t="s">
        <v>653</v>
      </c>
      <c r="Z446" t="b">
        <v>0</v>
      </c>
      <c r="AA446" t="s">
        <v>565</v>
      </c>
      <c r="AB446" t="s">
        <v>36</v>
      </c>
      <c r="AC446" t="s">
        <v>273</v>
      </c>
    </row>
    <row r="447" spans="2:29" x14ac:dyDescent="0.35">
      <c r="B447" t="s">
        <v>654</v>
      </c>
      <c r="C447">
        <v>146.02000000000001</v>
      </c>
      <c r="D447" t="s">
        <v>29</v>
      </c>
      <c r="E447" s="10">
        <v>1356.6371402500001</v>
      </c>
      <c r="F447" t="s">
        <v>30</v>
      </c>
      <c r="G447" s="14">
        <v>46082</v>
      </c>
      <c r="H447">
        <v>19462</v>
      </c>
      <c r="I447">
        <v>2841841.24</v>
      </c>
      <c r="J447">
        <v>136211.86901250001</v>
      </c>
      <c r="K447" t="s">
        <v>54</v>
      </c>
      <c r="L447" s="9" t="s">
        <v>55</v>
      </c>
      <c r="M447" t="s">
        <v>56</v>
      </c>
      <c r="N447" s="12">
        <v>566.39822591022403</v>
      </c>
      <c r="O447" s="13">
        <v>0.41750163629299475</v>
      </c>
      <c r="P447" s="9" t="s">
        <v>654</v>
      </c>
      <c r="Q447">
        <v>507.54</v>
      </c>
      <c r="R447">
        <v>507.54</v>
      </c>
      <c r="S447" t="s">
        <v>39</v>
      </c>
      <c r="T447">
        <v>790.2389143397761</v>
      </c>
      <c r="U447">
        <v>2913787.14</v>
      </c>
      <c r="V447">
        <v>4536761.6072246544</v>
      </c>
      <c r="W447" t="s">
        <v>30</v>
      </c>
      <c r="X447" t="s">
        <v>57</v>
      </c>
      <c r="Y447" t="s">
        <v>34</v>
      </c>
      <c r="Z447" t="b">
        <v>0</v>
      </c>
      <c r="AA447" t="s">
        <v>565</v>
      </c>
      <c r="AB447" t="s">
        <v>36</v>
      </c>
      <c r="AC447" t="s">
        <v>37</v>
      </c>
    </row>
    <row r="448" spans="2:29" x14ac:dyDescent="0.35">
      <c r="B448" t="s">
        <v>655</v>
      </c>
      <c r="C448">
        <v>550.91999999999996</v>
      </c>
      <c r="D448" t="s">
        <v>29</v>
      </c>
      <c r="E448" s="10">
        <v>5118.4668764999997</v>
      </c>
      <c r="F448" t="s">
        <v>30</v>
      </c>
      <c r="G448" s="14">
        <v>46082</v>
      </c>
      <c r="H448">
        <v>9167</v>
      </c>
      <c r="I448">
        <v>5050283.6399999997</v>
      </c>
      <c r="J448">
        <v>28243.918000000001</v>
      </c>
      <c r="K448" t="s">
        <v>54</v>
      </c>
      <c r="L448" s="9" t="s">
        <v>55</v>
      </c>
      <c r="M448" t="s">
        <v>56</v>
      </c>
      <c r="N448" s="12">
        <v>4104.3938873572797</v>
      </c>
      <c r="O448" s="13">
        <v>0.80187954447872845</v>
      </c>
      <c r="P448" s="9" t="s">
        <v>655</v>
      </c>
      <c r="Q448">
        <v>651.29999999999995</v>
      </c>
      <c r="R448">
        <v>651.29999999999995</v>
      </c>
      <c r="S448" t="s">
        <v>39</v>
      </c>
      <c r="T448">
        <v>1014.07298914272</v>
      </c>
      <c r="U448">
        <v>11684322</v>
      </c>
      <c r="V448">
        <v>18192469.425220396</v>
      </c>
      <c r="W448" t="s">
        <v>30</v>
      </c>
      <c r="X448" t="s">
        <v>57</v>
      </c>
      <c r="Y448" t="s">
        <v>656</v>
      </c>
      <c r="Z448" t="b">
        <v>0</v>
      </c>
      <c r="AA448" t="s">
        <v>565</v>
      </c>
      <c r="AB448" t="s">
        <v>36</v>
      </c>
      <c r="AC448" t="s">
        <v>657</v>
      </c>
    </row>
    <row r="449" spans="2:29" x14ac:dyDescent="0.35">
      <c r="B449" t="s">
        <v>658</v>
      </c>
      <c r="C449">
        <v>748.05</v>
      </c>
      <c r="D449" t="s">
        <v>29</v>
      </c>
      <c r="E449" s="10">
        <v>6949.9548881249993</v>
      </c>
      <c r="F449" t="s">
        <v>30</v>
      </c>
      <c r="G449" s="14">
        <v>46082</v>
      </c>
      <c r="H449">
        <v>2776</v>
      </c>
      <c r="I449">
        <v>2076586.7999999998</v>
      </c>
      <c r="J449">
        <v>319607.06119650003</v>
      </c>
      <c r="K449" t="s">
        <v>54</v>
      </c>
      <c r="L449" s="9" t="s">
        <v>55</v>
      </c>
      <c r="M449" t="s">
        <v>56</v>
      </c>
      <c r="N449" s="12">
        <v>5979.3532913619274</v>
      </c>
      <c r="O449" s="13">
        <v>0.86034418749660013</v>
      </c>
      <c r="P449" s="9" t="s">
        <v>658</v>
      </c>
      <c r="Q449">
        <v>623.38</v>
      </c>
      <c r="R449">
        <v>623.38</v>
      </c>
      <c r="S449" t="s">
        <v>39</v>
      </c>
      <c r="T449">
        <v>970.60159676307205</v>
      </c>
      <c r="U449">
        <v>12066766.66</v>
      </c>
      <c r="V449">
        <v>18787935.108542785</v>
      </c>
      <c r="W449" t="s">
        <v>30</v>
      </c>
      <c r="X449" t="s">
        <v>57</v>
      </c>
      <c r="Y449" t="s">
        <v>121</v>
      </c>
      <c r="Z449" t="b">
        <v>0</v>
      </c>
      <c r="AA449" t="s">
        <v>565</v>
      </c>
      <c r="AB449" t="s">
        <v>36</v>
      </c>
      <c r="AC449" t="s">
        <v>122</v>
      </c>
    </row>
    <row r="450" spans="2:29" x14ac:dyDescent="0.35">
      <c r="B450" t="s">
        <v>658</v>
      </c>
      <c r="C450">
        <v>735.63</v>
      </c>
      <c r="D450" t="s">
        <v>29</v>
      </c>
      <c r="E450" s="10">
        <v>6834.5636178750001</v>
      </c>
      <c r="F450" t="s">
        <v>30</v>
      </c>
      <c r="G450" s="14">
        <v>46082</v>
      </c>
      <c r="H450">
        <v>8308</v>
      </c>
      <c r="I450">
        <v>6111614.04</v>
      </c>
      <c r="J450">
        <v>106535.68706549999</v>
      </c>
      <c r="K450" t="s">
        <v>54</v>
      </c>
      <c r="L450" s="9" t="s">
        <v>55</v>
      </c>
      <c r="M450" t="s">
        <v>56</v>
      </c>
      <c r="N450" s="12">
        <v>6181.7609429819122</v>
      </c>
      <c r="O450" s="13">
        <v>0.90448509789480058</v>
      </c>
      <c r="P450" s="9" t="s">
        <v>658</v>
      </c>
      <c r="Q450">
        <v>419.27</v>
      </c>
      <c r="R450">
        <v>419.27</v>
      </c>
      <c r="S450" t="s">
        <v>39</v>
      </c>
      <c r="T450">
        <v>652.80267489308801</v>
      </c>
      <c r="U450">
        <v>5387619.5</v>
      </c>
      <c r="V450">
        <v>8388514.3723761812</v>
      </c>
      <c r="W450" t="s">
        <v>30</v>
      </c>
      <c r="X450" t="s">
        <v>57</v>
      </c>
      <c r="Y450" t="s">
        <v>121</v>
      </c>
      <c r="Z450" t="b">
        <v>0</v>
      </c>
      <c r="AA450" t="s">
        <v>565</v>
      </c>
      <c r="AB450" t="s">
        <v>36</v>
      </c>
      <c r="AC450" t="s">
        <v>122</v>
      </c>
    </row>
    <row r="451" spans="2:29" x14ac:dyDescent="0.35">
      <c r="B451" t="s">
        <v>658</v>
      </c>
      <c r="C451">
        <v>372.86</v>
      </c>
      <c r="D451" t="s">
        <v>29</v>
      </c>
      <c r="E451" s="10">
        <v>3464.15370575</v>
      </c>
      <c r="F451" t="s">
        <v>30</v>
      </c>
      <c r="G451" s="14">
        <v>46082</v>
      </c>
      <c r="H451">
        <v>13964</v>
      </c>
      <c r="I451">
        <v>5206617.04</v>
      </c>
      <c r="J451">
        <v>213071.37413099999</v>
      </c>
      <c r="K451" t="s">
        <v>54</v>
      </c>
      <c r="L451" s="9" t="s">
        <v>55</v>
      </c>
      <c r="M451" t="s">
        <v>56</v>
      </c>
      <c r="N451" s="12">
        <v>3452.5384984737761</v>
      </c>
      <c r="O451" s="13">
        <v>0.99664702889570278</v>
      </c>
      <c r="P451" s="9" t="s">
        <v>658</v>
      </c>
      <c r="Q451">
        <v>7.46</v>
      </c>
      <c r="R451">
        <v>7.46</v>
      </c>
      <c r="S451" t="s">
        <v>39</v>
      </c>
      <c r="T451">
        <v>11.615207276224</v>
      </c>
      <c r="U451">
        <v>45058.400000000001</v>
      </c>
      <c r="V451">
        <v>70155.851948392956</v>
      </c>
      <c r="W451" t="s">
        <v>30</v>
      </c>
      <c r="X451" t="s">
        <v>57</v>
      </c>
      <c r="Y451" t="s">
        <v>121</v>
      </c>
      <c r="Z451" t="b">
        <v>0</v>
      </c>
      <c r="AA451" t="s">
        <v>565</v>
      </c>
      <c r="AB451" t="s">
        <v>36</v>
      </c>
      <c r="AC451" t="s">
        <v>122</v>
      </c>
    </row>
    <row r="452" spans="2:29" x14ac:dyDescent="0.35">
      <c r="B452" t="s">
        <v>659</v>
      </c>
      <c r="C452">
        <v>894.9</v>
      </c>
      <c r="D452" t="s">
        <v>29</v>
      </c>
      <c r="E452" s="10">
        <v>8314.3033612500003</v>
      </c>
      <c r="F452" t="s">
        <v>30</v>
      </c>
      <c r="G452" s="14">
        <v>46082</v>
      </c>
      <c r="H452">
        <v>5847</v>
      </c>
      <c r="I452">
        <v>5232480.3</v>
      </c>
      <c r="J452">
        <v>47661.611624999998</v>
      </c>
      <c r="K452" t="s">
        <v>54</v>
      </c>
      <c r="L452" s="9" t="s">
        <v>55</v>
      </c>
      <c r="M452" t="s">
        <v>56</v>
      </c>
      <c r="N452" s="12">
        <v>6810.9747980579687</v>
      </c>
      <c r="O452" s="13">
        <v>0.81918766998585724</v>
      </c>
      <c r="P452" s="9" t="s">
        <v>659</v>
      </c>
      <c r="Q452">
        <v>965.53</v>
      </c>
      <c r="R452">
        <v>965.53</v>
      </c>
      <c r="S452" t="s">
        <v>39</v>
      </c>
      <c r="T452">
        <v>1503.3285631920321</v>
      </c>
      <c r="U452">
        <v>18276517.370000001</v>
      </c>
      <c r="V452">
        <v>28456506.372661974</v>
      </c>
      <c r="W452" t="s">
        <v>30</v>
      </c>
      <c r="X452" t="s">
        <v>57</v>
      </c>
      <c r="Y452" t="s">
        <v>644</v>
      </c>
      <c r="Z452" t="b">
        <v>0</v>
      </c>
      <c r="AA452" t="s">
        <v>565</v>
      </c>
      <c r="AB452" t="s">
        <v>36</v>
      </c>
      <c r="AC452" t="s">
        <v>59</v>
      </c>
    </row>
    <row r="453" spans="2:29" x14ac:dyDescent="0.35">
      <c r="B453" t="s">
        <v>659</v>
      </c>
      <c r="C453">
        <v>924.63</v>
      </c>
      <c r="D453" t="s">
        <v>29</v>
      </c>
      <c r="E453" s="10">
        <v>8590.5177303749988</v>
      </c>
      <c r="F453" t="s">
        <v>30</v>
      </c>
      <c r="G453" s="14">
        <v>46082</v>
      </c>
      <c r="H453">
        <v>12324</v>
      </c>
      <c r="I453">
        <v>11395140.119999999</v>
      </c>
      <c r="J453">
        <v>119154.02906250001</v>
      </c>
      <c r="K453" t="s">
        <v>54</v>
      </c>
      <c r="L453" s="9" t="s">
        <v>55</v>
      </c>
      <c r="M453" t="s">
        <v>56</v>
      </c>
      <c r="N453" s="12">
        <v>8264.2487377834786</v>
      </c>
      <c r="O453" s="13">
        <v>0.9620198685536876</v>
      </c>
      <c r="P453" s="9" t="s">
        <v>659</v>
      </c>
      <c r="Q453">
        <v>209.55</v>
      </c>
      <c r="R453">
        <v>209.55</v>
      </c>
      <c r="S453" t="s">
        <v>39</v>
      </c>
      <c r="T453">
        <v>326.26899259152003</v>
      </c>
      <c r="U453">
        <v>781621.5</v>
      </c>
      <c r="V453">
        <v>1216983.3423663697</v>
      </c>
      <c r="W453" t="s">
        <v>30</v>
      </c>
      <c r="X453" t="s">
        <v>57</v>
      </c>
      <c r="Y453" t="s">
        <v>644</v>
      </c>
      <c r="Z453" t="b">
        <v>0</v>
      </c>
      <c r="AA453" t="s">
        <v>565</v>
      </c>
      <c r="AB453" t="s">
        <v>36</v>
      </c>
      <c r="AC453" t="s">
        <v>59</v>
      </c>
    </row>
    <row r="454" spans="2:29" x14ac:dyDescent="0.35">
      <c r="B454" t="s">
        <v>659</v>
      </c>
      <c r="C454">
        <v>364.42</v>
      </c>
      <c r="D454" t="s">
        <v>29</v>
      </c>
      <c r="E454" s="10">
        <v>3385.73967025</v>
      </c>
      <c r="F454" t="s">
        <v>30</v>
      </c>
      <c r="G454" s="14">
        <v>46082</v>
      </c>
      <c r="H454">
        <v>7303</v>
      </c>
      <c r="I454">
        <v>2661359.2600000002</v>
      </c>
      <c r="J454">
        <v>214477.2523125</v>
      </c>
      <c r="K454" t="s">
        <v>54</v>
      </c>
      <c r="L454" s="9" t="s">
        <v>55</v>
      </c>
      <c r="M454" t="s">
        <v>56</v>
      </c>
      <c r="N454" s="12">
        <v>2122.5002440544476</v>
      </c>
      <c r="O454" s="13">
        <v>0.62689410609579566</v>
      </c>
      <c r="P454" s="9" t="s">
        <v>659</v>
      </c>
      <c r="Q454">
        <v>811.33</v>
      </c>
      <c r="R454">
        <v>811.33</v>
      </c>
      <c r="S454" t="s">
        <v>39</v>
      </c>
      <c r="T454">
        <v>1263.2394261955521</v>
      </c>
      <c r="U454">
        <v>1636452.61</v>
      </c>
      <c r="V454">
        <v>2547953.9226364288</v>
      </c>
      <c r="W454" t="s">
        <v>30</v>
      </c>
      <c r="X454" t="s">
        <v>57</v>
      </c>
      <c r="Y454" t="s">
        <v>644</v>
      </c>
      <c r="Z454" t="b">
        <v>0</v>
      </c>
      <c r="AA454" t="s">
        <v>565</v>
      </c>
      <c r="AB454" t="s">
        <v>36</v>
      </c>
      <c r="AC454" t="s">
        <v>59</v>
      </c>
    </row>
    <row r="455" spans="2:29" x14ac:dyDescent="0.35">
      <c r="B455" t="s">
        <v>659</v>
      </c>
      <c r="C455">
        <v>470.52</v>
      </c>
      <c r="D455" t="s">
        <v>29</v>
      </c>
      <c r="E455" s="10">
        <v>4371.4895714999993</v>
      </c>
      <c r="F455" t="s">
        <v>30</v>
      </c>
      <c r="G455" s="14">
        <v>46082</v>
      </c>
      <c r="H455">
        <v>10322</v>
      </c>
      <c r="I455">
        <v>4856707.4399999995</v>
      </c>
      <c r="J455">
        <v>119154.02906250001</v>
      </c>
      <c r="K455" t="s">
        <v>54</v>
      </c>
      <c r="L455" s="9" t="s">
        <v>55</v>
      </c>
      <c r="M455" t="s">
        <v>56</v>
      </c>
      <c r="N455" s="12">
        <v>4342.3581334117753</v>
      </c>
      <c r="O455" s="13">
        <v>0.99333603852605601</v>
      </c>
      <c r="P455" s="9" t="s">
        <v>659</v>
      </c>
      <c r="Q455">
        <v>18.71</v>
      </c>
      <c r="R455">
        <v>18.71</v>
      </c>
      <c r="S455" t="s">
        <v>39</v>
      </c>
      <c r="T455">
        <v>29.131438088224002</v>
      </c>
      <c r="U455">
        <v>38299.370000000003</v>
      </c>
      <c r="V455">
        <v>59632.05376659453</v>
      </c>
      <c r="W455" t="s">
        <v>30</v>
      </c>
      <c r="X455" t="s">
        <v>57</v>
      </c>
      <c r="Y455" t="s">
        <v>644</v>
      </c>
      <c r="Z455" t="b">
        <v>0</v>
      </c>
      <c r="AA455" t="s">
        <v>565</v>
      </c>
      <c r="AB455" t="s">
        <v>36</v>
      </c>
      <c r="AC455" t="s">
        <v>59</v>
      </c>
    </row>
    <row r="456" spans="2:29" x14ac:dyDescent="0.35">
      <c r="B456" t="s">
        <v>660</v>
      </c>
      <c r="C456">
        <v>665.67</v>
      </c>
      <c r="D456" t="s">
        <v>29</v>
      </c>
      <c r="E456" s="10">
        <v>6184.5818733749993</v>
      </c>
      <c r="F456" t="s">
        <v>30</v>
      </c>
      <c r="G456" s="14">
        <v>46082</v>
      </c>
      <c r="H456">
        <v>3419</v>
      </c>
      <c r="I456">
        <v>2275925.73</v>
      </c>
      <c r="J456">
        <v>249676.23512</v>
      </c>
      <c r="K456" t="s">
        <v>54</v>
      </c>
      <c r="L456" s="9" t="s">
        <v>55</v>
      </c>
      <c r="M456" t="s">
        <v>56</v>
      </c>
      <c r="N456" s="12">
        <v>5174.8996194224874</v>
      </c>
      <c r="O456" s="13">
        <v>0.83674203452633467</v>
      </c>
      <c r="P456" s="9" t="s">
        <v>660</v>
      </c>
      <c r="Q456">
        <v>648.48</v>
      </c>
      <c r="R456">
        <v>648.48</v>
      </c>
      <c r="S456" t="s">
        <v>39</v>
      </c>
      <c r="T456">
        <v>1009.682253952512</v>
      </c>
      <c r="U456">
        <v>1263239.04</v>
      </c>
      <c r="V456">
        <v>1966861.0306994934</v>
      </c>
      <c r="W456" t="s">
        <v>30</v>
      </c>
      <c r="X456" t="s">
        <v>57</v>
      </c>
      <c r="Y456" t="s">
        <v>34</v>
      </c>
      <c r="Z456" t="b">
        <v>0</v>
      </c>
      <c r="AA456" t="s">
        <v>565</v>
      </c>
      <c r="AB456" t="s">
        <v>36</v>
      </c>
      <c r="AC456" t="s">
        <v>37</v>
      </c>
    </row>
    <row r="457" spans="2:29" x14ac:dyDescent="0.35">
      <c r="B457" t="s">
        <v>661</v>
      </c>
      <c r="C457">
        <v>806.84</v>
      </c>
      <c r="D457" t="s">
        <v>29</v>
      </c>
      <c r="E457" s="10">
        <v>7496.1588154999999</v>
      </c>
      <c r="F457" t="s">
        <v>30</v>
      </c>
      <c r="G457" s="14">
        <v>46082</v>
      </c>
      <c r="H457">
        <v>9760</v>
      </c>
      <c r="I457">
        <v>7874758.4000000004</v>
      </c>
      <c r="J457">
        <v>110374.2585</v>
      </c>
      <c r="K457" t="s">
        <v>54</v>
      </c>
      <c r="L457" s="9" t="s">
        <v>55</v>
      </c>
      <c r="M457" t="s">
        <v>56</v>
      </c>
      <c r="N457" s="12">
        <v>5997.0497176857916</v>
      </c>
      <c r="O457" s="13">
        <v>0.80001636375226448</v>
      </c>
      <c r="P457" s="9" t="s">
        <v>661</v>
      </c>
      <c r="Q457">
        <v>962.82</v>
      </c>
      <c r="R457">
        <v>962.82</v>
      </c>
      <c r="S457" t="s">
        <v>39</v>
      </c>
      <c r="T457">
        <v>1499.1090978142081</v>
      </c>
      <c r="U457">
        <v>13363941.600000001</v>
      </c>
      <c r="V457">
        <v>20807634.277661208</v>
      </c>
      <c r="W457" t="s">
        <v>30</v>
      </c>
      <c r="X457" t="s">
        <v>57</v>
      </c>
      <c r="Y457" t="s">
        <v>34</v>
      </c>
      <c r="Z457" t="b">
        <v>0</v>
      </c>
      <c r="AA457" t="s">
        <v>565</v>
      </c>
      <c r="AB457" t="s">
        <v>36</v>
      </c>
      <c r="AC457" t="s">
        <v>37</v>
      </c>
    </row>
    <row r="458" spans="2:29" x14ac:dyDescent="0.35">
      <c r="B458" t="s">
        <v>661</v>
      </c>
      <c r="C458">
        <v>251.07</v>
      </c>
      <c r="D458" t="s">
        <v>29</v>
      </c>
      <c r="E458" s="10">
        <v>2332.6317408749997</v>
      </c>
      <c r="F458" t="s">
        <v>30</v>
      </c>
      <c r="G458" s="14">
        <v>46082</v>
      </c>
      <c r="H458">
        <v>5654</v>
      </c>
      <c r="I458">
        <v>1419549.78</v>
      </c>
      <c r="J458">
        <v>220748.51699999999</v>
      </c>
      <c r="K458" t="s">
        <v>54</v>
      </c>
      <c r="L458" s="9" t="s">
        <v>55</v>
      </c>
      <c r="M458" t="s">
        <v>56</v>
      </c>
      <c r="N458" s="12">
        <v>1437.7158312027118</v>
      </c>
      <c r="O458" s="13">
        <v>0.61634925308158861</v>
      </c>
      <c r="P458" s="9" t="s">
        <v>661</v>
      </c>
      <c r="Q458">
        <v>574.77</v>
      </c>
      <c r="R458">
        <v>574.77</v>
      </c>
      <c r="S458" t="s">
        <v>39</v>
      </c>
      <c r="T458">
        <v>894.91590967228797</v>
      </c>
      <c r="U458">
        <v>2170331.52</v>
      </c>
      <c r="V458">
        <v>3379202.4749225592</v>
      </c>
      <c r="W458" t="s">
        <v>30</v>
      </c>
      <c r="X458" t="s">
        <v>57</v>
      </c>
      <c r="Y458" t="s">
        <v>34</v>
      </c>
      <c r="Z458" t="b">
        <v>0</v>
      </c>
      <c r="AA458" t="s">
        <v>565</v>
      </c>
      <c r="AB458" t="s">
        <v>36</v>
      </c>
      <c r="AC458" t="s">
        <v>37</v>
      </c>
    </row>
    <row r="459" spans="2:29" x14ac:dyDescent="0.35">
      <c r="B459" t="s">
        <v>662</v>
      </c>
      <c r="C459">
        <v>92.01</v>
      </c>
      <c r="D459" t="s">
        <v>29</v>
      </c>
      <c r="E459" s="10">
        <v>854.84305762500003</v>
      </c>
      <c r="F459" t="s">
        <v>30</v>
      </c>
      <c r="G459" s="14">
        <v>46082</v>
      </c>
      <c r="H459">
        <v>19412</v>
      </c>
      <c r="I459">
        <v>1786098.12</v>
      </c>
      <c r="J459">
        <v>138461.16261375</v>
      </c>
      <c r="K459" t="s">
        <v>54</v>
      </c>
      <c r="L459" s="9" t="s">
        <v>55</v>
      </c>
      <c r="M459" t="s">
        <v>56</v>
      </c>
      <c r="N459" s="12">
        <v>14.257820326136084</v>
      </c>
      <c r="O459" s="13">
        <v>1.667887479340174E-2</v>
      </c>
      <c r="P459" s="9" t="s">
        <v>662</v>
      </c>
      <c r="Q459">
        <v>558.19000000000005</v>
      </c>
      <c r="R459">
        <v>558.19000000000005</v>
      </c>
      <c r="S459" t="s">
        <v>39</v>
      </c>
      <c r="T459">
        <v>869.10087795113611</v>
      </c>
      <c r="U459">
        <v>3883886.0200000005</v>
      </c>
      <c r="V459">
        <v>6047203.9087840049</v>
      </c>
      <c r="W459" t="s">
        <v>30</v>
      </c>
      <c r="X459" t="s">
        <v>57</v>
      </c>
      <c r="Y459" t="s">
        <v>503</v>
      </c>
      <c r="Z459" t="b">
        <v>0</v>
      </c>
      <c r="AA459" t="s">
        <v>565</v>
      </c>
      <c r="AB459" t="s">
        <v>36</v>
      </c>
      <c r="AC459" t="s">
        <v>158</v>
      </c>
    </row>
    <row r="460" spans="2:29" x14ac:dyDescent="0.35">
      <c r="B460" t="s">
        <v>663</v>
      </c>
      <c r="C460">
        <v>475.46</v>
      </c>
      <c r="D460" t="s">
        <v>29</v>
      </c>
      <c r="E460" s="10">
        <v>4417.3859382499995</v>
      </c>
      <c r="F460" t="s">
        <v>30</v>
      </c>
      <c r="G460" s="14">
        <v>46082</v>
      </c>
      <c r="H460">
        <v>3835</v>
      </c>
      <c r="I460">
        <v>1823389.0999999999</v>
      </c>
      <c r="J460">
        <v>40849.624559999997</v>
      </c>
      <c r="K460" t="s">
        <v>54</v>
      </c>
      <c r="L460" s="9" t="s">
        <v>55</v>
      </c>
      <c r="M460" t="s">
        <v>56</v>
      </c>
      <c r="N460" s="12">
        <v>3092.2713998349914</v>
      </c>
      <c r="O460" s="13">
        <v>0.70002291922449311</v>
      </c>
      <c r="P460" s="9" t="s">
        <v>663</v>
      </c>
      <c r="Q460">
        <v>851.07</v>
      </c>
      <c r="R460">
        <v>851.07</v>
      </c>
      <c r="S460" t="s">
        <v>39</v>
      </c>
      <c r="T460">
        <v>1325.1145384150082</v>
      </c>
      <c r="U460">
        <v>7320053.0700000003</v>
      </c>
      <c r="V460">
        <v>11397310.144907486</v>
      </c>
      <c r="W460" t="s">
        <v>30</v>
      </c>
      <c r="X460" t="s">
        <v>57</v>
      </c>
      <c r="Y460" t="s">
        <v>664</v>
      </c>
      <c r="Z460" t="b">
        <v>0</v>
      </c>
      <c r="AA460" t="s">
        <v>565</v>
      </c>
      <c r="AB460" t="s">
        <v>36</v>
      </c>
      <c r="AC460" t="s">
        <v>288</v>
      </c>
    </row>
    <row r="461" spans="2:29" x14ac:dyDescent="0.35">
      <c r="B461" t="s">
        <v>665</v>
      </c>
      <c r="C461">
        <v>359.57</v>
      </c>
      <c r="D461" t="s">
        <v>29</v>
      </c>
      <c r="E461" s="10">
        <v>3340.6794721249998</v>
      </c>
      <c r="F461" t="s">
        <v>30</v>
      </c>
      <c r="G461" s="14">
        <v>46082</v>
      </c>
      <c r="H461">
        <v>15892</v>
      </c>
      <c r="I461">
        <v>5714286.4399999995</v>
      </c>
      <c r="J461">
        <v>554483.48328449996</v>
      </c>
      <c r="K461" t="s">
        <v>54</v>
      </c>
      <c r="L461" s="9" t="s">
        <v>55</v>
      </c>
      <c r="M461" t="s">
        <v>56</v>
      </c>
      <c r="N461" s="12">
        <v>2266.9578783238157</v>
      </c>
      <c r="O461" s="13">
        <v>0.67859185451329995</v>
      </c>
      <c r="P461" s="9" t="s">
        <v>665</v>
      </c>
      <c r="Q461">
        <v>689.61</v>
      </c>
      <c r="R461">
        <v>689.61</v>
      </c>
      <c r="S461" t="s">
        <v>39</v>
      </c>
      <c r="T461">
        <v>1073.7215938011841</v>
      </c>
      <c r="U461">
        <v>13037077.050000001</v>
      </c>
      <c r="V461">
        <v>20298706.730811384</v>
      </c>
      <c r="W461" t="s">
        <v>30</v>
      </c>
      <c r="X461" t="s">
        <v>57</v>
      </c>
      <c r="Y461" t="s">
        <v>121</v>
      </c>
      <c r="Z461" t="b">
        <v>0</v>
      </c>
      <c r="AA461" t="s">
        <v>565</v>
      </c>
      <c r="AB461" t="s">
        <v>36</v>
      </c>
      <c r="AC461" t="s">
        <v>122</v>
      </c>
    </row>
    <row r="462" spans="2:29" x14ac:dyDescent="0.35">
      <c r="B462" t="s">
        <v>665</v>
      </c>
      <c r="C462">
        <v>933.9</v>
      </c>
      <c r="D462" t="s">
        <v>29</v>
      </c>
      <c r="E462" s="10">
        <v>8676.6430987499989</v>
      </c>
      <c r="F462" t="s">
        <v>30</v>
      </c>
      <c r="G462" s="14">
        <v>46082</v>
      </c>
      <c r="H462">
        <v>4302</v>
      </c>
      <c r="I462">
        <v>4017637.8</v>
      </c>
      <c r="J462">
        <v>277241.74164224998</v>
      </c>
      <c r="K462" t="s">
        <v>54</v>
      </c>
      <c r="L462" s="9" t="s">
        <v>55</v>
      </c>
      <c r="M462" t="s">
        <v>56</v>
      </c>
      <c r="N462" s="12">
        <v>8226.6550216854557</v>
      </c>
      <c r="O462" s="13">
        <v>0.94813799853893144</v>
      </c>
      <c r="P462" s="9" t="s">
        <v>665</v>
      </c>
      <c r="Q462">
        <v>289.01</v>
      </c>
      <c r="R462">
        <v>289.01</v>
      </c>
      <c r="S462" t="s">
        <v>39</v>
      </c>
      <c r="T462">
        <v>449.98807706454397</v>
      </c>
      <c r="U462">
        <v>2910619.71</v>
      </c>
      <c r="V462">
        <v>4531829.9241170222</v>
      </c>
      <c r="W462" t="s">
        <v>30</v>
      </c>
      <c r="X462" t="s">
        <v>57</v>
      </c>
      <c r="Y462" t="s">
        <v>121</v>
      </c>
      <c r="Z462" t="b">
        <v>0</v>
      </c>
      <c r="AA462" t="s">
        <v>565</v>
      </c>
      <c r="AB462" t="s">
        <v>36</v>
      </c>
      <c r="AC462" t="s">
        <v>122</v>
      </c>
    </row>
    <row r="463" spans="2:29" x14ac:dyDescent="0.35">
      <c r="B463" t="s">
        <v>665</v>
      </c>
      <c r="C463">
        <v>142</v>
      </c>
      <c r="D463" t="s">
        <v>29</v>
      </c>
      <c r="E463" s="10">
        <v>1319.2882749999999</v>
      </c>
      <c r="F463" t="s">
        <v>30</v>
      </c>
      <c r="G463" s="14">
        <v>46082</v>
      </c>
      <c r="H463">
        <v>8655</v>
      </c>
      <c r="I463">
        <v>1229010</v>
      </c>
      <c r="J463">
        <v>462069.56940375001</v>
      </c>
      <c r="K463" t="s">
        <v>54</v>
      </c>
      <c r="L463" s="9" t="s">
        <v>55</v>
      </c>
      <c r="M463" t="s">
        <v>56</v>
      </c>
      <c r="N463" s="12">
        <v>872.53875438780778</v>
      </c>
      <c r="O463" s="13">
        <v>0.66137080949029725</v>
      </c>
      <c r="P463" s="9" t="s">
        <v>665</v>
      </c>
      <c r="Q463">
        <v>286.93</v>
      </c>
      <c r="R463">
        <v>286.93</v>
      </c>
      <c r="S463" t="s">
        <v>39</v>
      </c>
      <c r="T463">
        <v>446.74952061219204</v>
      </c>
      <c r="U463">
        <v>2348808.98</v>
      </c>
      <c r="V463">
        <v>3657091.5757314041</v>
      </c>
      <c r="W463" t="s">
        <v>30</v>
      </c>
      <c r="X463" t="s">
        <v>57</v>
      </c>
      <c r="Y463" t="s">
        <v>121</v>
      </c>
      <c r="Z463" t="b">
        <v>0</v>
      </c>
      <c r="AA463" t="s">
        <v>565</v>
      </c>
      <c r="AB463" t="s">
        <v>36</v>
      </c>
      <c r="AC463" t="s">
        <v>122</v>
      </c>
    </row>
    <row r="464" spans="2:29" x14ac:dyDescent="0.35">
      <c r="B464" t="s">
        <v>665</v>
      </c>
      <c r="C464">
        <v>386.65</v>
      </c>
      <c r="D464" t="s">
        <v>29</v>
      </c>
      <c r="E464" s="10">
        <v>3592.2733206249995</v>
      </c>
      <c r="F464" t="s">
        <v>30</v>
      </c>
      <c r="G464" s="14">
        <v>46082</v>
      </c>
      <c r="H464">
        <v>18940</v>
      </c>
      <c r="I464">
        <v>7323151</v>
      </c>
      <c r="J464">
        <v>277241.74164224998</v>
      </c>
      <c r="K464" t="s">
        <v>54</v>
      </c>
      <c r="L464" s="9" t="s">
        <v>55</v>
      </c>
      <c r="M464" t="s">
        <v>56</v>
      </c>
      <c r="N464" s="12">
        <v>2323.8646600920392</v>
      </c>
      <c r="O464" s="13">
        <v>0.64690641626559831</v>
      </c>
      <c r="P464" s="9" t="s">
        <v>665</v>
      </c>
      <c r="Q464">
        <v>814.65</v>
      </c>
      <c r="R464">
        <v>814.65</v>
      </c>
      <c r="S464" t="s">
        <v>39</v>
      </c>
      <c r="T464">
        <v>1268.4086605329601</v>
      </c>
      <c r="U464">
        <v>2893636.8</v>
      </c>
      <c r="V464">
        <v>4505387.5622130744</v>
      </c>
      <c r="W464" t="s">
        <v>30</v>
      </c>
      <c r="X464" t="s">
        <v>57</v>
      </c>
      <c r="Y464" t="s">
        <v>121</v>
      </c>
      <c r="Z464" t="b">
        <v>0</v>
      </c>
      <c r="AA464" t="s">
        <v>565</v>
      </c>
      <c r="AB464" t="s">
        <v>36</v>
      </c>
      <c r="AC464" t="s">
        <v>122</v>
      </c>
    </row>
    <row r="465" spans="2:29" x14ac:dyDescent="0.35">
      <c r="B465" t="s">
        <v>665</v>
      </c>
      <c r="C465">
        <v>245.53</v>
      </c>
      <c r="D465" t="s">
        <v>29</v>
      </c>
      <c r="E465" s="10">
        <v>2281.160916625</v>
      </c>
      <c r="F465" t="s">
        <v>30</v>
      </c>
      <c r="G465" s="14">
        <v>46082</v>
      </c>
      <c r="H465">
        <v>3930</v>
      </c>
      <c r="I465">
        <v>964932.9</v>
      </c>
      <c r="J465">
        <v>462069.56940375001</v>
      </c>
      <c r="K465" t="s">
        <v>54</v>
      </c>
      <c r="L465" s="9" t="s">
        <v>55</v>
      </c>
      <c r="M465" t="s">
        <v>56</v>
      </c>
      <c r="N465" s="12">
        <v>2241.0993505100882</v>
      </c>
      <c r="O465" s="13">
        <v>0.98243807974135233</v>
      </c>
      <c r="P465" s="9" t="s">
        <v>665</v>
      </c>
      <c r="Q465">
        <v>25.73</v>
      </c>
      <c r="R465">
        <v>25.73</v>
      </c>
      <c r="S465" t="s">
        <v>39</v>
      </c>
      <c r="T465">
        <v>40.061566114912004</v>
      </c>
      <c r="U465">
        <v>320287.03999999998</v>
      </c>
      <c r="V465">
        <v>498686.37499842461</v>
      </c>
      <c r="W465" t="s">
        <v>30</v>
      </c>
      <c r="X465" t="s">
        <v>57</v>
      </c>
      <c r="Y465" t="s">
        <v>121</v>
      </c>
      <c r="Z465" t="b">
        <v>0</v>
      </c>
      <c r="AA465" t="s">
        <v>565</v>
      </c>
      <c r="AB465" t="s">
        <v>36</v>
      </c>
      <c r="AC465" t="s">
        <v>122</v>
      </c>
    </row>
    <row r="466" spans="2:29" x14ac:dyDescent="0.35">
      <c r="B466" t="s">
        <v>666</v>
      </c>
      <c r="C466">
        <v>390.25</v>
      </c>
      <c r="D466" t="s">
        <v>29</v>
      </c>
      <c r="E466" s="10">
        <v>3625.7200656249997</v>
      </c>
      <c r="F466" t="s">
        <v>30</v>
      </c>
      <c r="G466" s="14">
        <v>46082</v>
      </c>
      <c r="H466">
        <v>6800</v>
      </c>
      <c r="I466">
        <v>2653700</v>
      </c>
      <c r="J466">
        <v>137978.97203999999</v>
      </c>
      <c r="K466" t="s">
        <v>54</v>
      </c>
      <c r="L466" s="9" t="s">
        <v>55</v>
      </c>
      <c r="M466" t="s">
        <v>56</v>
      </c>
      <c r="N466" s="12">
        <v>2871.1519822099276</v>
      </c>
      <c r="O466" s="13">
        <v>0.7918846271202683</v>
      </c>
      <c r="P466" s="9" t="s">
        <v>666</v>
      </c>
      <c r="Q466">
        <v>484.63</v>
      </c>
      <c r="R466">
        <v>484.63</v>
      </c>
      <c r="S466" t="s">
        <v>39</v>
      </c>
      <c r="T466">
        <v>754.56808341507201</v>
      </c>
      <c r="U466">
        <v>479299.07</v>
      </c>
      <c r="V466">
        <v>746267.83449750626</v>
      </c>
      <c r="W466" t="s">
        <v>30</v>
      </c>
      <c r="X466" t="s">
        <v>57</v>
      </c>
      <c r="Y466" t="s">
        <v>667</v>
      </c>
      <c r="Z466" t="b">
        <v>0</v>
      </c>
      <c r="AA466" t="s">
        <v>565</v>
      </c>
      <c r="AB466" t="s">
        <v>36</v>
      </c>
      <c r="AC466" t="s">
        <v>187</v>
      </c>
    </row>
    <row r="467" spans="2:29" x14ac:dyDescent="0.35">
      <c r="B467" t="s">
        <v>666</v>
      </c>
      <c r="C467">
        <v>271.02</v>
      </c>
      <c r="D467" t="s">
        <v>29</v>
      </c>
      <c r="E467" s="10">
        <v>2517.9824527499995</v>
      </c>
      <c r="F467" t="s">
        <v>30</v>
      </c>
      <c r="G467" s="14">
        <v>46082</v>
      </c>
      <c r="H467">
        <v>14963</v>
      </c>
      <c r="I467">
        <v>4055272.26</v>
      </c>
      <c r="J467">
        <v>126480.72437</v>
      </c>
      <c r="K467" t="s">
        <v>54</v>
      </c>
      <c r="L467" s="9" t="s">
        <v>55</v>
      </c>
      <c r="M467" t="s">
        <v>56</v>
      </c>
      <c r="N467" s="12">
        <v>2154.8593105300315</v>
      </c>
      <c r="O467" s="13">
        <v>0.85578805689317439</v>
      </c>
      <c r="P467" s="9" t="s">
        <v>666</v>
      </c>
      <c r="Q467">
        <v>233.22</v>
      </c>
      <c r="R467">
        <v>233.22</v>
      </c>
      <c r="S467" t="s">
        <v>39</v>
      </c>
      <c r="T467">
        <v>363.12314221996803</v>
      </c>
      <c r="U467">
        <v>2378377.56</v>
      </c>
      <c r="V467">
        <v>3703129.8043592339</v>
      </c>
      <c r="W467" t="s">
        <v>30</v>
      </c>
      <c r="X467" t="s">
        <v>57</v>
      </c>
      <c r="Y467" t="s">
        <v>667</v>
      </c>
      <c r="Z467" t="b">
        <v>0</v>
      </c>
      <c r="AA467" t="s">
        <v>565</v>
      </c>
      <c r="AB467" t="s">
        <v>36</v>
      </c>
      <c r="AC467" t="s">
        <v>187</v>
      </c>
    </row>
    <row r="468" spans="2:29" x14ac:dyDescent="0.35">
      <c r="B468" t="s">
        <v>60</v>
      </c>
      <c r="C468">
        <v>656.78</v>
      </c>
      <c r="D468" t="s">
        <v>29</v>
      </c>
      <c r="E468" s="10">
        <v>6101.9869947499992</v>
      </c>
      <c r="G468" s="14">
        <v>46082</v>
      </c>
      <c r="H468">
        <v>2745</v>
      </c>
      <c r="I468">
        <v>1802861.0999999999</v>
      </c>
      <c r="J468">
        <v>183139.5104</v>
      </c>
      <c r="K468" t="s">
        <v>54</v>
      </c>
      <c r="L468" s="9" t="s">
        <v>55</v>
      </c>
      <c r="M468" t="s">
        <v>56</v>
      </c>
      <c r="N468" s="12">
        <v>4574.120138438223</v>
      </c>
      <c r="O468" s="13">
        <v>0.74961158428782038</v>
      </c>
      <c r="P468" s="9" t="s">
        <v>60</v>
      </c>
      <c r="Q468">
        <v>981.29</v>
      </c>
      <c r="R468">
        <v>981.29</v>
      </c>
      <c r="S468" t="s">
        <v>39</v>
      </c>
      <c r="T468">
        <v>1527.866856311776</v>
      </c>
      <c r="U468">
        <v>4421692.74</v>
      </c>
      <c r="V468">
        <v>6884568.0545408623</v>
      </c>
      <c r="X468">
        <v>0</v>
      </c>
      <c r="Y468" t="s">
        <v>62</v>
      </c>
      <c r="Z468" t="b">
        <v>0</v>
      </c>
      <c r="AB468" t="s">
        <v>36</v>
      </c>
      <c r="AC468" t="s">
        <v>46</v>
      </c>
    </row>
    <row r="469" spans="2:29" x14ac:dyDescent="0.35">
      <c r="B469" t="s">
        <v>60</v>
      </c>
      <c r="C469">
        <v>463.23</v>
      </c>
      <c r="D469" t="s">
        <v>29</v>
      </c>
      <c r="E469" s="10">
        <v>4303.7599128749998</v>
      </c>
      <c r="G469" s="14">
        <v>46082</v>
      </c>
      <c r="H469">
        <v>16415</v>
      </c>
      <c r="I469">
        <v>7603920.4500000002</v>
      </c>
      <c r="J469">
        <v>91569.7552</v>
      </c>
      <c r="K469" t="s">
        <v>54</v>
      </c>
      <c r="L469" s="9" t="s">
        <v>55</v>
      </c>
      <c r="M469" t="s">
        <v>56</v>
      </c>
      <c r="N469" s="12">
        <v>3333.111606163096</v>
      </c>
      <c r="O469" s="13">
        <v>0.77446504304105312</v>
      </c>
      <c r="P469" s="9" t="s">
        <v>60</v>
      </c>
      <c r="Q469">
        <v>623.41</v>
      </c>
      <c r="R469">
        <v>623.41</v>
      </c>
      <c r="S469" t="s">
        <v>39</v>
      </c>
      <c r="T469">
        <v>970.64830671190396</v>
      </c>
      <c r="U469">
        <v>11402168.899999999</v>
      </c>
      <c r="V469">
        <v>17753157.529760722</v>
      </c>
      <c r="X469">
        <v>0</v>
      </c>
      <c r="Y469" t="s">
        <v>62</v>
      </c>
      <c r="Z469" t="b">
        <v>0</v>
      </c>
      <c r="AB469" t="s">
        <v>36</v>
      </c>
      <c r="AC469" t="s">
        <v>46</v>
      </c>
    </row>
    <row r="470" spans="2:29" x14ac:dyDescent="0.35">
      <c r="B470" t="s">
        <v>668</v>
      </c>
      <c r="C470">
        <v>414.02</v>
      </c>
      <c r="D470" t="s">
        <v>29</v>
      </c>
      <c r="E470" s="10">
        <v>3846.5614902499997</v>
      </c>
      <c r="F470" t="s">
        <v>30</v>
      </c>
      <c r="G470" s="14">
        <v>46082</v>
      </c>
      <c r="H470">
        <v>6099</v>
      </c>
      <c r="I470">
        <v>2525107.98</v>
      </c>
      <c r="J470">
        <v>310385.79359999998</v>
      </c>
      <c r="K470" t="s">
        <v>54</v>
      </c>
      <c r="L470" s="9" t="s">
        <v>55</v>
      </c>
      <c r="M470" t="s">
        <v>56</v>
      </c>
      <c r="N470" s="12">
        <v>2396.3888488287839</v>
      </c>
      <c r="O470" s="13">
        <v>0.6229950710271982</v>
      </c>
      <c r="P470" s="9" t="s">
        <v>668</v>
      </c>
      <c r="Q470">
        <v>931.39</v>
      </c>
      <c r="R470">
        <v>931.39</v>
      </c>
      <c r="S470" t="s">
        <v>39</v>
      </c>
      <c r="T470">
        <v>1450.172641421216</v>
      </c>
      <c r="U470">
        <v>1294632.1000000001</v>
      </c>
      <c r="V470">
        <v>2015739.9715754902</v>
      </c>
      <c r="W470" t="s">
        <v>30</v>
      </c>
      <c r="X470" t="s">
        <v>57</v>
      </c>
      <c r="Y470" t="s">
        <v>644</v>
      </c>
      <c r="Z470" t="b">
        <v>0</v>
      </c>
      <c r="AA470" t="s">
        <v>565</v>
      </c>
      <c r="AB470" t="s">
        <v>36</v>
      </c>
      <c r="AC470" t="s">
        <v>187</v>
      </c>
    </row>
    <row r="471" spans="2:29" x14ac:dyDescent="0.35">
      <c r="B471" t="s">
        <v>668</v>
      </c>
      <c r="C471">
        <v>147.9</v>
      </c>
      <c r="D471" t="s">
        <v>29</v>
      </c>
      <c r="E471" s="10">
        <v>1374.1037737500001</v>
      </c>
      <c r="F471" t="s">
        <v>30</v>
      </c>
      <c r="G471" s="14">
        <v>46082</v>
      </c>
      <c r="H471">
        <v>19818</v>
      </c>
      <c r="I471">
        <v>2931082.2</v>
      </c>
      <c r="J471">
        <v>258654.82800000001</v>
      </c>
      <c r="K471" t="s">
        <v>54</v>
      </c>
      <c r="L471" s="9" t="s">
        <v>55</v>
      </c>
      <c r="M471" t="s">
        <v>56</v>
      </c>
      <c r="N471" s="12">
        <v>792.17566121800007</v>
      </c>
      <c r="O471" s="13">
        <v>0.57650351913095454</v>
      </c>
      <c r="P471" s="9" t="s">
        <v>668</v>
      </c>
      <c r="Q471">
        <v>373.75</v>
      </c>
      <c r="R471">
        <v>373.75</v>
      </c>
      <c r="S471" t="s">
        <v>39</v>
      </c>
      <c r="T471">
        <v>581.928112532</v>
      </c>
      <c r="U471">
        <v>1855295</v>
      </c>
      <c r="V471">
        <v>2888691.1506088478</v>
      </c>
      <c r="W471" t="s">
        <v>30</v>
      </c>
      <c r="X471" t="s">
        <v>57</v>
      </c>
      <c r="Y471" t="s">
        <v>644</v>
      </c>
      <c r="Z471" t="b">
        <v>0</v>
      </c>
      <c r="AA471" t="s">
        <v>565</v>
      </c>
      <c r="AB471" t="s">
        <v>36</v>
      </c>
      <c r="AC471" t="s">
        <v>187</v>
      </c>
    </row>
    <row r="472" spans="2:29" x14ac:dyDescent="0.35">
      <c r="B472" t="s">
        <v>668</v>
      </c>
      <c r="C472">
        <v>693.06</v>
      </c>
      <c r="D472" t="s">
        <v>29</v>
      </c>
      <c r="E472" s="10">
        <v>6439.0558582499989</v>
      </c>
      <c r="F472" t="s">
        <v>30</v>
      </c>
      <c r="G472" s="14">
        <v>46082</v>
      </c>
      <c r="H472">
        <v>19751</v>
      </c>
      <c r="I472">
        <v>13688628.059999999</v>
      </c>
      <c r="J472">
        <v>465578.69040000002</v>
      </c>
      <c r="K472" t="s">
        <v>54</v>
      </c>
      <c r="L472" s="9" t="s">
        <v>55</v>
      </c>
      <c r="M472" t="s">
        <v>56</v>
      </c>
      <c r="N472" s="12">
        <v>5488.9599290241749</v>
      </c>
      <c r="O472" s="13">
        <v>0.85244794421087067</v>
      </c>
      <c r="P472" s="9" t="s">
        <v>668</v>
      </c>
      <c r="Q472">
        <v>610.21</v>
      </c>
      <c r="R472">
        <v>610.21</v>
      </c>
      <c r="S472" t="s">
        <v>39</v>
      </c>
      <c r="T472">
        <v>950.09592922582408</v>
      </c>
      <c r="U472">
        <v>3451347.7600000002</v>
      </c>
      <c r="V472">
        <v>5373742.5757012609</v>
      </c>
      <c r="W472" t="s">
        <v>30</v>
      </c>
      <c r="X472" t="s">
        <v>57</v>
      </c>
      <c r="Y472" t="s">
        <v>644</v>
      </c>
      <c r="Z472" t="b">
        <v>0</v>
      </c>
      <c r="AA472" t="s">
        <v>565</v>
      </c>
      <c r="AB472" t="s">
        <v>36</v>
      </c>
      <c r="AC472" t="s">
        <v>187</v>
      </c>
    </row>
    <row r="473" spans="2:29" x14ac:dyDescent="0.35">
      <c r="B473" t="s">
        <v>668</v>
      </c>
      <c r="C473">
        <v>440.18</v>
      </c>
      <c r="D473" t="s">
        <v>29</v>
      </c>
      <c r="E473" s="10">
        <v>4089.6078372500001</v>
      </c>
      <c r="F473" t="s">
        <v>30</v>
      </c>
      <c r="G473" s="14">
        <v>46082</v>
      </c>
      <c r="H473">
        <v>14699</v>
      </c>
      <c r="I473">
        <v>6470205.8200000003</v>
      </c>
      <c r="J473">
        <v>465578.69040000002</v>
      </c>
      <c r="K473" t="s">
        <v>54</v>
      </c>
      <c r="L473" s="9" t="s">
        <v>55</v>
      </c>
      <c r="M473" t="s">
        <v>56</v>
      </c>
      <c r="N473" s="12">
        <v>2564.1854682604321</v>
      </c>
      <c r="O473" s="13">
        <v>0.62700033115759157</v>
      </c>
      <c r="P473" s="9" t="s">
        <v>668</v>
      </c>
      <c r="Q473">
        <v>979.72</v>
      </c>
      <c r="R473">
        <v>979.72</v>
      </c>
      <c r="S473" t="s">
        <v>39</v>
      </c>
      <c r="T473">
        <v>1525.422368989568</v>
      </c>
      <c r="U473">
        <v>3374155.68</v>
      </c>
      <c r="V473">
        <v>5253554.6388000725</v>
      </c>
      <c r="W473" t="s">
        <v>30</v>
      </c>
      <c r="X473" t="s">
        <v>57</v>
      </c>
      <c r="Y473" t="s">
        <v>644</v>
      </c>
      <c r="Z473" t="b">
        <v>0</v>
      </c>
      <c r="AA473" t="s">
        <v>565</v>
      </c>
      <c r="AB473" t="s">
        <v>36</v>
      </c>
      <c r="AC473" t="s">
        <v>187</v>
      </c>
    </row>
    <row r="474" spans="2:29" x14ac:dyDescent="0.35">
      <c r="B474" t="s">
        <v>668</v>
      </c>
      <c r="C474">
        <v>513.66</v>
      </c>
      <c r="D474" t="s">
        <v>29</v>
      </c>
      <c r="E474" s="10">
        <v>4772.2930657499992</v>
      </c>
      <c r="F474" t="s">
        <v>30</v>
      </c>
      <c r="G474" s="14">
        <v>46082</v>
      </c>
      <c r="H474">
        <v>2208</v>
      </c>
      <c r="I474">
        <v>1134161.28</v>
      </c>
      <c r="J474">
        <v>258654.82800000001</v>
      </c>
      <c r="K474" t="s">
        <v>54</v>
      </c>
      <c r="L474" s="9" t="s">
        <v>55</v>
      </c>
      <c r="M474" t="s">
        <v>56</v>
      </c>
      <c r="N474" s="12">
        <v>3764.1678100918871</v>
      </c>
      <c r="O474" s="13">
        <v>0.78875453754228353</v>
      </c>
      <c r="P474" s="9" t="s">
        <v>668</v>
      </c>
      <c r="Q474">
        <v>647.48</v>
      </c>
      <c r="R474">
        <v>647.48</v>
      </c>
      <c r="S474" t="s">
        <v>39</v>
      </c>
      <c r="T474">
        <v>1008.125255658112</v>
      </c>
      <c r="U474">
        <v>10327953.48</v>
      </c>
      <c r="V474">
        <v>16080605.953002544</v>
      </c>
      <c r="W474" t="s">
        <v>30</v>
      </c>
      <c r="X474" t="s">
        <v>57</v>
      </c>
      <c r="Y474" t="s">
        <v>644</v>
      </c>
      <c r="Z474" t="b">
        <v>0</v>
      </c>
      <c r="AA474" t="s">
        <v>565</v>
      </c>
      <c r="AB474" t="s">
        <v>36</v>
      </c>
      <c r="AC474" t="s">
        <v>187</v>
      </c>
    </row>
    <row r="475" spans="2:29" x14ac:dyDescent="0.35">
      <c r="B475" t="s">
        <v>668</v>
      </c>
      <c r="C475">
        <v>814.81</v>
      </c>
      <c r="D475" t="s">
        <v>29</v>
      </c>
      <c r="E475" s="10">
        <v>7570.2061926249989</v>
      </c>
      <c r="F475" t="s">
        <v>30</v>
      </c>
      <c r="G475" s="14">
        <v>46082</v>
      </c>
      <c r="H475">
        <v>19539</v>
      </c>
      <c r="I475">
        <v>15920572.59</v>
      </c>
      <c r="J475">
        <v>517309.65600000002</v>
      </c>
      <c r="K475" t="s">
        <v>54</v>
      </c>
      <c r="L475" s="9" t="s">
        <v>55</v>
      </c>
      <c r="M475" t="s">
        <v>56</v>
      </c>
      <c r="N475" s="12">
        <v>7568.3845046205506</v>
      </c>
      <c r="O475" s="13">
        <v>0.99975936084723516</v>
      </c>
      <c r="P475" s="9" t="s">
        <v>668</v>
      </c>
      <c r="Q475">
        <v>1.17</v>
      </c>
      <c r="R475">
        <v>1.17</v>
      </c>
      <c r="S475" t="s">
        <v>39</v>
      </c>
      <c r="T475">
        <v>1.8216880044479999</v>
      </c>
      <c r="U475">
        <v>3032.64</v>
      </c>
      <c r="V475">
        <v>4721.8153075292157</v>
      </c>
      <c r="W475" t="s">
        <v>30</v>
      </c>
      <c r="X475" t="s">
        <v>57</v>
      </c>
      <c r="Y475" t="s">
        <v>644</v>
      </c>
      <c r="Z475" t="b">
        <v>0</v>
      </c>
      <c r="AA475" t="s">
        <v>565</v>
      </c>
      <c r="AB475" t="s">
        <v>36</v>
      </c>
      <c r="AC475" t="s">
        <v>187</v>
      </c>
    </row>
    <row r="476" spans="2:29" x14ac:dyDescent="0.35">
      <c r="B476" t="s">
        <v>669</v>
      </c>
      <c r="C476">
        <v>328.61</v>
      </c>
      <c r="D476" t="s">
        <v>29</v>
      </c>
      <c r="E476" s="10">
        <v>3053.0374651249999</v>
      </c>
      <c r="F476" t="s">
        <v>30</v>
      </c>
      <c r="G476" s="14">
        <v>46082</v>
      </c>
      <c r="H476">
        <v>11053</v>
      </c>
      <c r="I476">
        <v>3632126.33</v>
      </c>
      <c r="J476">
        <v>500363.3052</v>
      </c>
      <c r="K476" t="s">
        <v>54</v>
      </c>
      <c r="L476" s="9" t="s">
        <v>55</v>
      </c>
      <c r="M476" t="s">
        <v>56</v>
      </c>
      <c r="N476" s="12">
        <v>2423.2939349719759</v>
      </c>
      <c r="O476" s="13">
        <v>0.79373213157499178</v>
      </c>
      <c r="P476" s="9" t="s">
        <v>669</v>
      </c>
      <c r="Q476">
        <v>404.46</v>
      </c>
      <c r="R476">
        <v>404.46</v>
      </c>
      <c r="S476" t="s">
        <v>39</v>
      </c>
      <c r="T476">
        <v>629.74353015302404</v>
      </c>
      <c r="U476">
        <v>940773.96</v>
      </c>
      <c r="V476">
        <v>1464783.4511359339</v>
      </c>
      <c r="W476" t="s">
        <v>30</v>
      </c>
      <c r="X476" t="s">
        <v>57</v>
      </c>
      <c r="Y476" t="s">
        <v>639</v>
      </c>
      <c r="Z476" t="b">
        <v>0</v>
      </c>
      <c r="AA476" t="s">
        <v>565</v>
      </c>
      <c r="AB476" t="s">
        <v>36</v>
      </c>
      <c r="AC476" t="s">
        <v>288</v>
      </c>
    </row>
    <row r="477" spans="2:29" x14ac:dyDescent="0.35">
      <c r="B477" t="s">
        <v>670</v>
      </c>
      <c r="C477">
        <v>811.89</v>
      </c>
      <c r="D477" t="s">
        <v>29</v>
      </c>
      <c r="E477" s="10">
        <v>7543.0771661249992</v>
      </c>
      <c r="F477" t="s">
        <v>30</v>
      </c>
      <c r="G477" s="14">
        <v>46082</v>
      </c>
      <c r="H477">
        <v>10410</v>
      </c>
      <c r="I477">
        <v>8451774.9000000004</v>
      </c>
      <c r="J477">
        <v>46490.975550000003</v>
      </c>
      <c r="K477" t="s">
        <v>54</v>
      </c>
      <c r="L477" s="9" t="s">
        <v>55</v>
      </c>
      <c r="M477" t="s">
        <v>56</v>
      </c>
      <c r="N477" s="12">
        <v>7142.196815265831</v>
      </c>
      <c r="O477" s="13">
        <v>0.94685453402764186</v>
      </c>
      <c r="P477" s="9" t="s">
        <v>670</v>
      </c>
      <c r="Q477">
        <v>257.47000000000003</v>
      </c>
      <c r="R477">
        <v>257.47000000000003</v>
      </c>
      <c r="S477" t="s">
        <v>39</v>
      </c>
      <c r="T477">
        <v>400.88035085916806</v>
      </c>
      <c r="U477">
        <v>4852794.5600000005</v>
      </c>
      <c r="V477">
        <v>7555792.8529936001</v>
      </c>
      <c r="W477" t="s">
        <v>30</v>
      </c>
      <c r="X477" t="s">
        <v>57</v>
      </c>
      <c r="Y477" t="s">
        <v>671</v>
      </c>
      <c r="Z477" t="b">
        <v>0</v>
      </c>
      <c r="AA477" t="s">
        <v>565</v>
      </c>
      <c r="AB477" t="s">
        <v>36</v>
      </c>
      <c r="AC477" t="s">
        <v>288</v>
      </c>
    </row>
    <row r="478" spans="2:29" x14ac:dyDescent="0.35">
      <c r="B478" t="s">
        <v>672</v>
      </c>
      <c r="C478">
        <v>779.91</v>
      </c>
      <c r="D478" t="s">
        <v>29</v>
      </c>
      <c r="E478" s="10">
        <v>7245.9585813749991</v>
      </c>
      <c r="F478" t="s">
        <v>30</v>
      </c>
      <c r="G478" s="14">
        <v>46082</v>
      </c>
      <c r="H478">
        <v>17908</v>
      </c>
      <c r="I478">
        <v>13966628.279999999</v>
      </c>
      <c r="J478">
        <v>304328.21645000001</v>
      </c>
      <c r="K478" t="s">
        <v>54</v>
      </c>
      <c r="L478" s="9" t="s">
        <v>55</v>
      </c>
      <c r="M478" t="s">
        <v>56</v>
      </c>
      <c r="N478" s="12">
        <v>6869.1494241472556</v>
      </c>
      <c r="O478" s="13">
        <v>0.94799733492870175</v>
      </c>
      <c r="P478" s="9" t="s">
        <v>672</v>
      </c>
      <c r="Q478">
        <v>242.01</v>
      </c>
      <c r="R478">
        <v>242.01</v>
      </c>
      <c r="S478" t="s">
        <v>39</v>
      </c>
      <c r="T478">
        <v>376.80915722774398</v>
      </c>
      <c r="U478">
        <v>3106198.35</v>
      </c>
      <c r="V478">
        <v>4836345.5330180936</v>
      </c>
      <c r="W478" t="s">
        <v>30</v>
      </c>
      <c r="X478" t="s">
        <v>57</v>
      </c>
      <c r="Y478" t="s">
        <v>34</v>
      </c>
      <c r="Z478" t="b">
        <v>0</v>
      </c>
      <c r="AA478" t="s">
        <v>565</v>
      </c>
      <c r="AB478" t="s">
        <v>36</v>
      </c>
      <c r="AC478" t="s">
        <v>37</v>
      </c>
    </row>
    <row r="479" spans="2:29" x14ac:dyDescent="0.35">
      <c r="B479" t="s">
        <v>672</v>
      </c>
      <c r="C479">
        <v>99.81</v>
      </c>
      <c r="D479" t="s">
        <v>29</v>
      </c>
      <c r="E479" s="10">
        <v>927.31100512499995</v>
      </c>
      <c r="F479" t="s">
        <v>30</v>
      </c>
      <c r="G479" s="14">
        <v>46082</v>
      </c>
      <c r="H479">
        <v>4477</v>
      </c>
      <c r="I479">
        <v>446849.37</v>
      </c>
      <c r="J479">
        <v>395626.681385</v>
      </c>
      <c r="K479" t="s">
        <v>54</v>
      </c>
      <c r="L479" s="9" t="s">
        <v>55</v>
      </c>
      <c r="M479" t="s">
        <v>56</v>
      </c>
      <c r="N479" s="12">
        <v>154.60389158016801</v>
      </c>
      <c r="O479" s="13">
        <v>0.16672280467471393</v>
      </c>
      <c r="P479" s="9" t="s">
        <v>672</v>
      </c>
      <c r="Q479">
        <v>496.28</v>
      </c>
      <c r="R479">
        <v>496.28</v>
      </c>
      <c r="S479" t="s">
        <v>39</v>
      </c>
      <c r="T479">
        <v>772.70711354483194</v>
      </c>
      <c r="U479">
        <v>2271473.56</v>
      </c>
      <c r="V479">
        <v>3536680.458694696</v>
      </c>
      <c r="W479" t="s">
        <v>30</v>
      </c>
      <c r="X479" t="s">
        <v>57</v>
      </c>
      <c r="Y479" t="s">
        <v>34</v>
      </c>
      <c r="Z479" t="b">
        <v>0</v>
      </c>
      <c r="AA479" t="s">
        <v>565</v>
      </c>
      <c r="AB479" t="s">
        <v>36</v>
      </c>
      <c r="AC479" t="s">
        <v>37</v>
      </c>
    </row>
    <row r="480" spans="2:29" x14ac:dyDescent="0.35">
      <c r="B480" t="s">
        <v>672</v>
      </c>
      <c r="C480">
        <v>112.14</v>
      </c>
      <c r="D480" t="s">
        <v>29</v>
      </c>
      <c r="E480" s="10">
        <v>1041.86610675</v>
      </c>
      <c r="F480" t="s">
        <v>30</v>
      </c>
      <c r="G480" s="14">
        <v>46082</v>
      </c>
      <c r="H480">
        <v>13392</v>
      </c>
      <c r="I480">
        <v>1501778.8800000001</v>
      </c>
      <c r="J480">
        <v>30432.821645</v>
      </c>
      <c r="K480" t="s">
        <v>54</v>
      </c>
      <c r="L480" s="9" t="s">
        <v>55</v>
      </c>
      <c r="M480" t="s">
        <v>56</v>
      </c>
      <c r="N480" s="12">
        <v>124.84082129723186</v>
      </c>
      <c r="O480" s="13">
        <v>0.11982424659792482</v>
      </c>
      <c r="P480" s="9" t="s">
        <v>672</v>
      </c>
      <c r="Q480">
        <v>588.97</v>
      </c>
      <c r="R480">
        <v>588.97</v>
      </c>
      <c r="S480" t="s">
        <v>39</v>
      </c>
      <c r="T480">
        <v>917.02528545276812</v>
      </c>
      <c r="U480">
        <v>5229464.63</v>
      </c>
      <c r="V480">
        <v>8142267.5095351283</v>
      </c>
      <c r="W480" t="s">
        <v>30</v>
      </c>
      <c r="X480" t="s">
        <v>57</v>
      </c>
      <c r="Y480" t="s">
        <v>34</v>
      </c>
      <c r="Z480" t="b">
        <v>0</v>
      </c>
      <c r="AA480" t="s">
        <v>565</v>
      </c>
      <c r="AB480" t="s">
        <v>36</v>
      </c>
      <c r="AC480" t="s">
        <v>37</v>
      </c>
    </row>
    <row r="481" spans="2:29" x14ac:dyDescent="0.35">
      <c r="B481" t="s">
        <v>673</v>
      </c>
      <c r="C481">
        <v>717.4</v>
      </c>
      <c r="D481" t="s">
        <v>29</v>
      </c>
      <c r="E481" s="10">
        <v>6665.1930174999998</v>
      </c>
      <c r="F481" t="s">
        <v>30</v>
      </c>
      <c r="G481" s="14">
        <v>46082</v>
      </c>
      <c r="H481">
        <v>6427</v>
      </c>
      <c r="I481">
        <v>4610729.8</v>
      </c>
      <c r="J481">
        <v>300420.33592724998</v>
      </c>
      <c r="K481" t="s">
        <v>54</v>
      </c>
      <c r="L481" s="9" t="s">
        <v>55</v>
      </c>
      <c r="M481" t="s">
        <v>56</v>
      </c>
      <c r="N481" s="12">
        <v>6585.4279948778876</v>
      </c>
      <c r="O481" s="13">
        <v>0.98803260124460268</v>
      </c>
      <c r="P481" s="9" t="s">
        <v>673</v>
      </c>
      <c r="Q481">
        <v>51.23</v>
      </c>
      <c r="R481">
        <v>51.23</v>
      </c>
      <c r="S481" t="s">
        <v>39</v>
      </c>
      <c r="T481">
        <v>79.765022622111999</v>
      </c>
      <c r="U481">
        <v>388733.24</v>
      </c>
      <c r="V481">
        <v>605256.99165658583</v>
      </c>
      <c r="W481" t="s">
        <v>30</v>
      </c>
      <c r="X481" t="s">
        <v>57</v>
      </c>
      <c r="Y481" t="s">
        <v>121</v>
      </c>
      <c r="Z481" t="b">
        <v>0</v>
      </c>
      <c r="AA481" t="s">
        <v>565</v>
      </c>
      <c r="AB481" t="s">
        <v>36</v>
      </c>
      <c r="AC481" t="s">
        <v>122</v>
      </c>
    </row>
    <row r="482" spans="2:29" x14ac:dyDescent="0.35">
      <c r="B482" t="s">
        <v>673</v>
      </c>
      <c r="C482">
        <v>702.33</v>
      </c>
      <c r="D482" t="s">
        <v>29</v>
      </c>
      <c r="E482" s="10">
        <v>6525.1812266249999</v>
      </c>
      <c r="F482" t="s">
        <v>30</v>
      </c>
      <c r="G482" s="14">
        <v>46082</v>
      </c>
      <c r="H482">
        <v>1063</v>
      </c>
      <c r="I482">
        <v>746576.79</v>
      </c>
      <c r="J482">
        <v>400560.44790299999</v>
      </c>
      <c r="K482" t="s">
        <v>54</v>
      </c>
      <c r="L482" s="9" t="s">
        <v>55</v>
      </c>
      <c r="M482" t="s">
        <v>56</v>
      </c>
      <c r="N482" s="12">
        <v>5821.200017794984</v>
      </c>
      <c r="O482" s="13">
        <v>0.89211315603656671</v>
      </c>
      <c r="P482" s="9" t="s">
        <v>673</v>
      </c>
      <c r="Q482">
        <v>452.14</v>
      </c>
      <c r="R482">
        <v>452.14</v>
      </c>
      <c r="S482" t="s">
        <v>39</v>
      </c>
      <c r="T482">
        <v>703.98120883001604</v>
      </c>
      <c r="U482">
        <v>2228598.06</v>
      </c>
      <c r="V482">
        <v>3469923.3783231489</v>
      </c>
      <c r="W482" t="s">
        <v>30</v>
      </c>
      <c r="X482" t="s">
        <v>57</v>
      </c>
      <c r="Y482" t="s">
        <v>121</v>
      </c>
      <c r="Z482" t="b">
        <v>0</v>
      </c>
      <c r="AA482" t="s">
        <v>565</v>
      </c>
      <c r="AB482" t="s">
        <v>36</v>
      </c>
      <c r="AC482" t="s">
        <v>122</v>
      </c>
    </row>
    <row r="483" spans="2:29" x14ac:dyDescent="0.35">
      <c r="B483" t="s">
        <v>673</v>
      </c>
      <c r="C483">
        <v>859.55</v>
      </c>
      <c r="D483" t="s">
        <v>29</v>
      </c>
      <c r="E483" s="10">
        <v>7985.8749068749994</v>
      </c>
      <c r="F483" t="s">
        <v>30</v>
      </c>
      <c r="G483" s="14">
        <v>46082</v>
      </c>
      <c r="H483">
        <v>5260</v>
      </c>
      <c r="I483">
        <v>4521233</v>
      </c>
      <c r="J483">
        <v>100140.11197575</v>
      </c>
      <c r="K483" t="s">
        <v>54</v>
      </c>
      <c r="L483" s="9" t="s">
        <v>55</v>
      </c>
      <c r="M483" t="s">
        <v>56</v>
      </c>
      <c r="N483" s="12">
        <v>7858.4345964783597</v>
      </c>
      <c r="O483" s="13">
        <v>0.98404178479092796</v>
      </c>
      <c r="P483" s="9" t="s">
        <v>673</v>
      </c>
      <c r="Q483">
        <v>81.849999999999994</v>
      </c>
      <c r="R483">
        <v>81.849999999999994</v>
      </c>
      <c r="S483" t="s">
        <v>39</v>
      </c>
      <c r="T483">
        <v>127.44031039664</v>
      </c>
      <c r="U483">
        <v>1583633.7999999998</v>
      </c>
      <c r="V483">
        <v>2465715.1255541909</v>
      </c>
      <c r="W483" t="s">
        <v>30</v>
      </c>
      <c r="X483" t="s">
        <v>57</v>
      </c>
      <c r="Y483" t="s">
        <v>121</v>
      </c>
      <c r="Z483" t="b">
        <v>0</v>
      </c>
      <c r="AA483" t="s">
        <v>565</v>
      </c>
      <c r="AB483" t="s">
        <v>36</v>
      </c>
      <c r="AC483" t="s">
        <v>122</v>
      </c>
    </row>
    <row r="484" spans="2:29" x14ac:dyDescent="0.35">
      <c r="B484" t="s">
        <v>674</v>
      </c>
      <c r="C484">
        <v>697.8</v>
      </c>
      <c r="D484" t="s">
        <v>29</v>
      </c>
      <c r="E484" s="10">
        <v>6483.0940724999991</v>
      </c>
      <c r="F484" t="s">
        <v>30</v>
      </c>
      <c r="G484" s="14">
        <v>46082</v>
      </c>
      <c r="H484">
        <v>14929</v>
      </c>
      <c r="I484">
        <v>10417456.199999999</v>
      </c>
      <c r="J484">
        <v>27024.969959999999</v>
      </c>
      <c r="K484" t="s">
        <v>54</v>
      </c>
      <c r="L484" s="9" t="s">
        <v>55</v>
      </c>
      <c r="M484" t="s">
        <v>56</v>
      </c>
      <c r="N484" s="12">
        <v>4971.0463188593276</v>
      </c>
      <c r="O484" s="13">
        <v>0.76677065969866476</v>
      </c>
      <c r="P484" s="9" t="s">
        <v>674</v>
      </c>
      <c r="Q484">
        <v>971.13</v>
      </c>
      <c r="R484">
        <v>971.13</v>
      </c>
      <c r="S484" t="s">
        <v>39</v>
      </c>
      <c r="T484">
        <v>1512.047753640672</v>
      </c>
      <c r="U484">
        <v>10073531.49</v>
      </c>
      <c r="V484">
        <v>15684471.348514691</v>
      </c>
      <c r="W484" t="s">
        <v>30</v>
      </c>
      <c r="X484" t="s">
        <v>57</v>
      </c>
      <c r="Y484" t="s">
        <v>675</v>
      </c>
      <c r="Z484" t="b">
        <v>0</v>
      </c>
      <c r="AA484" t="s">
        <v>565</v>
      </c>
      <c r="AB484" t="s">
        <v>36</v>
      </c>
      <c r="AC484" t="s">
        <v>59</v>
      </c>
    </row>
    <row r="485" spans="2:29" x14ac:dyDescent="0.35">
      <c r="B485" t="s">
        <v>676</v>
      </c>
      <c r="C485">
        <v>231.39</v>
      </c>
      <c r="D485" t="s">
        <v>29</v>
      </c>
      <c r="E485" s="10">
        <v>2149.7895348749998</v>
      </c>
      <c r="F485" t="s">
        <v>30</v>
      </c>
      <c r="G485" s="14">
        <v>46082</v>
      </c>
      <c r="H485">
        <v>18604</v>
      </c>
      <c r="I485">
        <v>4304779.5599999996</v>
      </c>
      <c r="J485">
        <v>53328.976750000002</v>
      </c>
      <c r="K485" t="s">
        <v>54</v>
      </c>
      <c r="L485" s="9" t="s">
        <v>55</v>
      </c>
      <c r="M485" t="s">
        <v>56</v>
      </c>
      <c r="N485" s="12">
        <v>2007.7912904257198</v>
      </c>
      <c r="O485" s="13">
        <v>0.93394783901134926</v>
      </c>
      <c r="P485" s="9" t="s">
        <v>676</v>
      </c>
      <c r="Q485">
        <v>91.2</v>
      </c>
      <c r="R485">
        <v>91.2</v>
      </c>
      <c r="S485" t="s">
        <v>39</v>
      </c>
      <c r="T485">
        <v>141.99824444928001</v>
      </c>
      <c r="U485">
        <v>298588.79999999999</v>
      </c>
      <c r="V485">
        <v>464902.25232694275</v>
      </c>
      <c r="W485" t="s">
        <v>30</v>
      </c>
      <c r="X485" t="s">
        <v>57</v>
      </c>
      <c r="Y485" t="s">
        <v>58</v>
      </c>
      <c r="Z485" t="b">
        <v>0</v>
      </c>
      <c r="AA485" t="s">
        <v>565</v>
      </c>
      <c r="AB485" t="s">
        <v>36</v>
      </c>
      <c r="AC485" t="s">
        <v>677</v>
      </c>
    </row>
    <row r="486" spans="2:29" x14ac:dyDescent="0.35">
      <c r="B486" t="s">
        <v>678</v>
      </c>
      <c r="C486">
        <v>826.56</v>
      </c>
      <c r="D486" t="s">
        <v>29</v>
      </c>
      <c r="E486" s="10">
        <v>7679.3726519999991</v>
      </c>
      <c r="F486" t="s">
        <v>30</v>
      </c>
      <c r="G486" s="14">
        <v>46082</v>
      </c>
      <c r="H486">
        <v>15130</v>
      </c>
      <c r="I486">
        <v>12505852.799999999</v>
      </c>
      <c r="J486">
        <v>186651.41862499999</v>
      </c>
      <c r="K486" t="s">
        <v>54</v>
      </c>
      <c r="L486" s="9" t="s">
        <v>55</v>
      </c>
      <c r="M486" t="s">
        <v>56</v>
      </c>
      <c r="N486" s="12">
        <v>7419.8677462723508</v>
      </c>
      <c r="O486" s="13">
        <v>0.96620753836447004</v>
      </c>
      <c r="P486" s="9" t="s">
        <v>678</v>
      </c>
      <c r="Q486">
        <v>166.67</v>
      </c>
      <c r="R486">
        <v>166.67</v>
      </c>
      <c r="S486" t="s">
        <v>39</v>
      </c>
      <c r="T486">
        <v>259.50490572764801</v>
      </c>
      <c r="U486">
        <v>1578531.5699999998</v>
      </c>
      <c r="V486">
        <v>2457770.9621465541</v>
      </c>
      <c r="W486" t="s">
        <v>30</v>
      </c>
      <c r="X486" t="s">
        <v>57</v>
      </c>
      <c r="Y486" t="s">
        <v>58</v>
      </c>
      <c r="Z486" t="b">
        <v>0</v>
      </c>
      <c r="AA486" t="s">
        <v>565</v>
      </c>
      <c r="AB486" t="s">
        <v>36</v>
      </c>
      <c r="AC486" t="s">
        <v>59</v>
      </c>
    </row>
    <row r="487" spans="2:29" x14ac:dyDescent="0.35">
      <c r="B487" t="s">
        <v>678</v>
      </c>
      <c r="C487">
        <v>688.85</v>
      </c>
      <c r="D487" t="s">
        <v>29</v>
      </c>
      <c r="E487" s="10">
        <v>6399.9417481250002</v>
      </c>
      <c r="F487" t="s">
        <v>30</v>
      </c>
      <c r="G487" s="14">
        <v>46082</v>
      </c>
      <c r="H487">
        <v>16374</v>
      </c>
      <c r="I487">
        <v>11279229.9</v>
      </c>
      <c r="J487">
        <v>173319.17443750001</v>
      </c>
      <c r="K487" t="s">
        <v>54</v>
      </c>
      <c r="L487" s="9" t="s">
        <v>55</v>
      </c>
      <c r="M487" t="s">
        <v>56</v>
      </c>
      <c r="N487" s="12">
        <v>5687.0233690851283</v>
      </c>
      <c r="O487" s="13">
        <v>0.88860548937828432</v>
      </c>
      <c r="P487" s="9" t="s">
        <v>678</v>
      </c>
      <c r="Q487">
        <v>457.88</v>
      </c>
      <c r="R487">
        <v>457.88</v>
      </c>
      <c r="S487" t="s">
        <v>39</v>
      </c>
      <c r="T487">
        <v>712.91837903987198</v>
      </c>
      <c r="U487">
        <v>1494520.32</v>
      </c>
      <c r="V487">
        <v>2326965.5891861422</v>
      </c>
      <c r="W487" t="s">
        <v>30</v>
      </c>
      <c r="X487" t="s">
        <v>57</v>
      </c>
      <c r="Y487" t="s">
        <v>58</v>
      </c>
      <c r="Z487" t="b">
        <v>0</v>
      </c>
      <c r="AA487" t="s">
        <v>565</v>
      </c>
      <c r="AB487" t="s">
        <v>36</v>
      </c>
      <c r="AC487" t="s">
        <v>59</v>
      </c>
    </row>
    <row r="488" spans="2:29" x14ac:dyDescent="0.35">
      <c r="B488" t="s">
        <v>678</v>
      </c>
      <c r="C488">
        <v>562.5</v>
      </c>
      <c r="D488" t="s">
        <v>29</v>
      </c>
      <c r="E488" s="10">
        <v>5226.0539062500002</v>
      </c>
      <c r="F488" t="s">
        <v>30</v>
      </c>
      <c r="G488" s="14">
        <v>46082</v>
      </c>
      <c r="H488">
        <v>13119</v>
      </c>
      <c r="I488">
        <v>7379437.5</v>
      </c>
      <c r="J488">
        <v>133322.44187499999</v>
      </c>
      <c r="K488" t="s">
        <v>54</v>
      </c>
      <c r="L488" s="9" t="s">
        <v>55</v>
      </c>
      <c r="M488" t="s">
        <v>56</v>
      </c>
      <c r="N488" s="12">
        <v>3860.7221018906403</v>
      </c>
      <c r="O488" s="13">
        <v>0.73874517392051442</v>
      </c>
      <c r="P488" s="9" t="s">
        <v>678</v>
      </c>
      <c r="Q488">
        <v>876.9</v>
      </c>
      <c r="R488">
        <v>876.9</v>
      </c>
      <c r="S488" t="s">
        <v>39</v>
      </c>
      <c r="T488">
        <v>1365.3318043593599</v>
      </c>
      <c r="U488">
        <v>10419325.799999999</v>
      </c>
      <c r="V488">
        <v>16222872.499397915</v>
      </c>
      <c r="W488" t="s">
        <v>30</v>
      </c>
      <c r="X488" t="s">
        <v>57</v>
      </c>
      <c r="Y488" t="s">
        <v>58</v>
      </c>
      <c r="Z488" t="b">
        <v>0</v>
      </c>
      <c r="AA488" t="s">
        <v>565</v>
      </c>
      <c r="AB488" t="s">
        <v>36</v>
      </c>
      <c r="AC488" t="s">
        <v>59</v>
      </c>
    </row>
    <row r="489" spans="2:29" x14ac:dyDescent="0.35">
      <c r="B489" t="s">
        <v>678</v>
      </c>
      <c r="C489">
        <v>433.54</v>
      </c>
      <c r="D489" t="s">
        <v>29</v>
      </c>
      <c r="E489" s="10">
        <v>4027.9171742499998</v>
      </c>
      <c r="F489" t="s">
        <v>30</v>
      </c>
      <c r="G489" s="14">
        <v>46082</v>
      </c>
      <c r="H489">
        <v>15754</v>
      </c>
      <c r="I489">
        <v>6829989.1600000001</v>
      </c>
      <c r="J489">
        <v>56288.734959624999</v>
      </c>
      <c r="K489" t="s">
        <v>54</v>
      </c>
      <c r="L489" s="9" t="s">
        <v>55</v>
      </c>
      <c r="M489" t="s">
        <v>56</v>
      </c>
      <c r="N489" s="12">
        <v>2775.9037057570717</v>
      </c>
      <c r="O489" s="13">
        <v>0.68916603437208124</v>
      </c>
      <c r="P489" s="9" t="s">
        <v>678</v>
      </c>
      <c r="Q489">
        <v>804.12</v>
      </c>
      <c r="R489">
        <v>804.12</v>
      </c>
      <c r="S489" t="s">
        <v>39</v>
      </c>
      <c r="T489">
        <v>1252.013468492928</v>
      </c>
      <c r="U489">
        <v>11603451.6</v>
      </c>
      <c r="V489">
        <v>18066554.35035295</v>
      </c>
      <c r="W489" t="s">
        <v>30</v>
      </c>
      <c r="X489" t="s">
        <v>57</v>
      </c>
      <c r="Y489" t="s">
        <v>58</v>
      </c>
      <c r="Z489" t="b">
        <v>0</v>
      </c>
      <c r="AA489" t="s">
        <v>565</v>
      </c>
      <c r="AB489" t="s">
        <v>36</v>
      </c>
      <c r="AC489" t="s">
        <v>59</v>
      </c>
    </row>
    <row r="490" spans="2:29" x14ac:dyDescent="0.35">
      <c r="B490" t="s">
        <v>678</v>
      </c>
      <c r="C490">
        <v>209.86</v>
      </c>
      <c r="D490" t="s">
        <v>29</v>
      </c>
      <c r="E490" s="10">
        <v>1949.75941825</v>
      </c>
      <c r="F490" t="s">
        <v>30</v>
      </c>
      <c r="G490" s="14">
        <v>46082</v>
      </c>
      <c r="H490">
        <v>16890</v>
      </c>
      <c r="I490">
        <v>3544535.4000000004</v>
      </c>
      <c r="J490">
        <v>159986.93025</v>
      </c>
      <c r="K490" t="s">
        <v>54</v>
      </c>
      <c r="L490" s="9" t="s">
        <v>55</v>
      </c>
      <c r="M490" t="s">
        <v>56</v>
      </c>
      <c r="N490" s="12">
        <v>1809.972111378768</v>
      </c>
      <c r="O490" s="13">
        <v>0.92830535625944166</v>
      </c>
      <c r="P490" s="9" t="s">
        <v>678</v>
      </c>
      <c r="Q490">
        <v>89.78</v>
      </c>
      <c r="R490">
        <v>89.78</v>
      </c>
      <c r="S490" t="s">
        <v>39</v>
      </c>
      <c r="T490">
        <v>139.787306871232</v>
      </c>
      <c r="U490">
        <v>788178.62</v>
      </c>
      <c r="V490">
        <v>1227192.7670225457</v>
      </c>
      <c r="W490" t="s">
        <v>30</v>
      </c>
      <c r="X490" t="s">
        <v>57</v>
      </c>
      <c r="Y490" t="s">
        <v>58</v>
      </c>
      <c r="Z490" t="b">
        <v>0</v>
      </c>
      <c r="AA490" t="s">
        <v>565</v>
      </c>
      <c r="AB490" t="s">
        <v>36</v>
      </c>
      <c r="AC490" t="s">
        <v>59</v>
      </c>
    </row>
    <row r="491" spans="2:29" x14ac:dyDescent="0.35">
      <c r="B491" t="s">
        <v>679</v>
      </c>
      <c r="C491">
        <v>352.09</v>
      </c>
      <c r="D491" t="s">
        <v>29</v>
      </c>
      <c r="E491" s="10">
        <v>3271.1845686249994</v>
      </c>
      <c r="F491" t="s">
        <v>30</v>
      </c>
      <c r="G491" s="14">
        <v>46082</v>
      </c>
      <c r="H491">
        <v>10461</v>
      </c>
      <c r="I491">
        <v>3683213.4899999998</v>
      </c>
      <c r="J491">
        <v>225765.52875</v>
      </c>
      <c r="K491" t="s">
        <v>54</v>
      </c>
      <c r="L491" s="9" t="s">
        <v>55</v>
      </c>
      <c r="M491" t="s">
        <v>56</v>
      </c>
      <c r="N491" s="12">
        <v>2323.8600963632075</v>
      </c>
      <c r="O491" s="13">
        <v>0.71040323393920035</v>
      </c>
      <c r="P491" s="9" t="s">
        <v>679</v>
      </c>
      <c r="Q491">
        <v>608.42999999999995</v>
      </c>
      <c r="R491">
        <v>608.42999999999995</v>
      </c>
      <c r="S491" t="s">
        <v>39</v>
      </c>
      <c r="T491">
        <v>947.32447226179193</v>
      </c>
      <c r="U491">
        <v>10051872.029999999</v>
      </c>
      <c r="V491">
        <v>15650747.606237065</v>
      </c>
      <c r="W491" t="s">
        <v>30</v>
      </c>
      <c r="X491" t="s">
        <v>57</v>
      </c>
      <c r="Y491" t="s">
        <v>680</v>
      </c>
      <c r="Z491" t="b">
        <v>0</v>
      </c>
      <c r="AA491" t="s">
        <v>565</v>
      </c>
      <c r="AB491" t="s">
        <v>36</v>
      </c>
      <c r="AC491" t="s">
        <v>59</v>
      </c>
    </row>
    <row r="492" spans="2:29" x14ac:dyDescent="0.35">
      <c r="B492" t="s">
        <v>679</v>
      </c>
      <c r="C492">
        <v>461.94</v>
      </c>
      <c r="D492" t="s">
        <v>29</v>
      </c>
      <c r="E492" s="10">
        <v>4291.77482925</v>
      </c>
      <c r="F492" t="s">
        <v>30</v>
      </c>
      <c r="G492" s="14">
        <v>46082</v>
      </c>
      <c r="H492">
        <v>12807</v>
      </c>
      <c r="I492">
        <v>5916065.5800000001</v>
      </c>
      <c r="J492">
        <v>94068.970312499994</v>
      </c>
      <c r="K492" t="s">
        <v>54</v>
      </c>
      <c r="L492" s="9" t="s">
        <v>55</v>
      </c>
      <c r="M492" t="s">
        <v>56</v>
      </c>
      <c r="N492" s="12">
        <v>2780.3343049441437</v>
      </c>
      <c r="O492" s="13">
        <v>0.64782855940977102</v>
      </c>
      <c r="P492" s="9" t="s">
        <v>679</v>
      </c>
      <c r="Q492">
        <v>970.74</v>
      </c>
      <c r="R492">
        <v>970.74</v>
      </c>
      <c r="S492" t="s">
        <v>39</v>
      </c>
      <c r="T492">
        <v>1511.4405243058561</v>
      </c>
      <c r="U492">
        <v>16455984.48</v>
      </c>
      <c r="V492">
        <v>25621939.768032871</v>
      </c>
      <c r="W492" t="s">
        <v>30</v>
      </c>
      <c r="X492" t="s">
        <v>57</v>
      </c>
      <c r="Y492" t="s">
        <v>680</v>
      </c>
      <c r="Z492" t="b">
        <v>0</v>
      </c>
      <c r="AA492" t="s">
        <v>565</v>
      </c>
      <c r="AB492" t="s">
        <v>36</v>
      </c>
      <c r="AC492" t="s">
        <v>59</v>
      </c>
    </row>
    <row r="493" spans="2:29" x14ac:dyDescent="0.35">
      <c r="B493" t="s">
        <v>679</v>
      </c>
      <c r="C493">
        <v>240.75</v>
      </c>
      <c r="D493" t="s">
        <v>29</v>
      </c>
      <c r="E493" s="10">
        <v>2236.751071875</v>
      </c>
      <c r="F493" t="s">
        <v>30</v>
      </c>
      <c r="G493" s="14">
        <v>46082</v>
      </c>
      <c r="H493">
        <v>9872</v>
      </c>
      <c r="I493">
        <v>2376684</v>
      </c>
      <c r="J493">
        <v>319834.49906250002</v>
      </c>
      <c r="K493" t="s">
        <v>54</v>
      </c>
      <c r="L493" s="9" t="s">
        <v>55</v>
      </c>
      <c r="M493" t="s">
        <v>56</v>
      </c>
      <c r="N493" s="12">
        <v>1096.187541295224</v>
      </c>
      <c r="O493" s="13">
        <v>0.49008025751221551</v>
      </c>
      <c r="P493" s="9" t="s">
        <v>679</v>
      </c>
      <c r="Q493">
        <v>732.54</v>
      </c>
      <c r="R493">
        <v>732.54</v>
      </c>
      <c r="S493" t="s">
        <v>39</v>
      </c>
      <c r="T493">
        <v>1140.5635305797759</v>
      </c>
      <c r="U493">
        <v>12111083.82</v>
      </c>
      <c r="V493">
        <v>18856936.851075437</v>
      </c>
      <c r="W493" t="s">
        <v>30</v>
      </c>
      <c r="X493" t="s">
        <v>57</v>
      </c>
      <c r="Y493" t="s">
        <v>680</v>
      </c>
      <c r="Z493" t="b">
        <v>0</v>
      </c>
      <c r="AA493" t="s">
        <v>565</v>
      </c>
      <c r="AB493" t="s">
        <v>36</v>
      </c>
      <c r="AC493" t="s">
        <v>59</v>
      </c>
    </row>
    <row r="494" spans="2:29" x14ac:dyDescent="0.35">
      <c r="B494" t="s">
        <v>679</v>
      </c>
      <c r="C494">
        <v>105.6</v>
      </c>
      <c r="D494" t="s">
        <v>29</v>
      </c>
      <c r="E494" s="10">
        <v>981.10451999999987</v>
      </c>
      <c r="F494" t="s">
        <v>30</v>
      </c>
      <c r="G494" s="14">
        <v>46082</v>
      </c>
      <c r="H494">
        <v>12580</v>
      </c>
      <c r="I494">
        <v>1328448</v>
      </c>
      <c r="J494">
        <v>413903.46937499999</v>
      </c>
      <c r="K494" t="s">
        <v>54</v>
      </c>
      <c r="L494" s="9" t="s">
        <v>55</v>
      </c>
      <c r="M494" t="s">
        <v>56</v>
      </c>
      <c r="N494" s="12">
        <v>86.8425496113598</v>
      </c>
      <c r="O494" s="13">
        <v>8.8515084622543386E-2</v>
      </c>
      <c r="P494" s="9" t="s">
        <v>679</v>
      </c>
      <c r="Q494">
        <v>574.35</v>
      </c>
      <c r="R494">
        <v>574.35</v>
      </c>
      <c r="S494" t="s">
        <v>39</v>
      </c>
      <c r="T494">
        <v>894.26197038864007</v>
      </c>
      <c r="U494">
        <v>63178.5</v>
      </c>
      <c r="V494">
        <v>98368.816742750409</v>
      </c>
      <c r="W494" t="s">
        <v>30</v>
      </c>
      <c r="X494" t="s">
        <v>57</v>
      </c>
      <c r="Y494" t="s">
        <v>680</v>
      </c>
      <c r="Z494" t="b">
        <v>0</v>
      </c>
      <c r="AA494" t="s">
        <v>565</v>
      </c>
      <c r="AB494" t="s">
        <v>36</v>
      </c>
      <c r="AC494" t="s">
        <v>59</v>
      </c>
    </row>
    <row r="495" spans="2:29" x14ac:dyDescent="0.35">
      <c r="B495" t="s">
        <v>681</v>
      </c>
      <c r="C495">
        <v>652.65</v>
      </c>
      <c r="D495" t="s">
        <v>29</v>
      </c>
      <c r="E495" s="10">
        <v>6063.6161456249993</v>
      </c>
      <c r="F495" t="s">
        <v>30</v>
      </c>
      <c r="G495" s="14">
        <v>46082</v>
      </c>
      <c r="H495">
        <v>7876</v>
      </c>
      <c r="I495">
        <v>5140271.3999999994</v>
      </c>
      <c r="J495">
        <v>630698.58111599996</v>
      </c>
      <c r="K495" t="s">
        <v>54</v>
      </c>
      <c r="L495" s="9" t="s">
        <v>55</v>
      </c>
      <c r="M495" t="s">
        <v>56</v>
      </c>
      <c r="N495" s="12">
        <v>5086.9733954796557</v>
      </c>
      <c r="O495" s="13">
        <v>0.83893394194320703</v>
      </c>
      <c r="P495" s="9" t="s">
        <v>681</v>
      </c>
      <c r="Q495">
        <v>627.26</v>
      </c>
      <c r="R495">
        <v>627.26</v>
      </c>
      <c r="S495" t="s">
        <v>39</v>
      </c>
      <c r="T495">
        <v>976.64275014534405</v>
      </c>
      <c r="U495">
        <v>11887831.52</v>
      </c>
      <c r="V495">
        <v>18509333.40075456</v>
      </c>
      <c r="W495" t="s">
        <v>30</v>
      </c>
      <c r="X495" t="s">
        <v>57</v>
      </c>
      <c r="Y495" t="s">
        <v>632</v>
      </c>
      <c r="Z495" t="b">
        <v>0</v>
      </c>
      <c r="AA495" t="s">
        <v>565</v>
      </c>
      <c r="AB495" t="s">
        <v>36</v>
      </c>
      <c r="AC495" t="s">
        <v>262</v>
      </c>
    </row>
    <row r="496" spans="2:29" x14ac:dyDescent="0.35">
      <c r="B496" t="s">
        <v>681</v>
      </c>
      <c r="C496">
        <v>142.94</v>
      </c>
      <c r="D496" t="s">
        <v>29</v>
      </c>
      <c r="E496" s="10">
        <v>1328.02159175</v>
      </c>
      <c r="F496" t="s">
        <v>30</v>
      </c>
      <c r="G496" s="14">
        <v>46082</v>
      </c>
      <c r="H496">
        <v>2427</v>
      </c>
      <c r="I496">
        <v>346915.38</v>
      </c>
      <c r="J496">
        <v>292190.76432000002</v>
      </c>
      <c r="K496" t="s">
        <v>54</v>
      </c>
      <c r="L496" s="9" t="s">
        <v>55</v>
      </c>
      <c r="M496" t="s">
        <v>56</v>
      </c>
      <c r="N496" s="12">
        <v>575.57102601531199</v>
      </c>
      <c r="O496" s="13">
        <v>0.43340487051633964</v>
      </c>
      <c r="P496" s="9" t="s">
        <v>681</v>
      </c>
      <c r="Q496">
        <v>483.27</v>
      </c>
      <c r="R496">
        <v>483.27</v>
      </c>
      <c r="S496" t="s">
        <v>39</v>
      </c>
      <c r="T496">
        <v>752.45056573468798</v>
      </c>
      <c r="U496">
        <v>9478374.5099999998</v>
      </c>
      <c r="V496">
        <v>14757812.945754435</v>
      </c>
      <c r="W496" t="s">
        <v>30</v>
      </c>
      <c r="X496" t="s">
        <v>57</v>
      </c>
      <c r="Y496" t="s">
        <v>632</v>
      </c>
      <c r="Z496" t="b">
        <v>0</v>
      </c>
      <c r="AA496" t="s">
        <v>565</v>
      </c>
      <c r="AB496" t="s">
        <v>36</v>
      </c>
      <c r="AC496" t="s">
        <v>262</v>
      </c>
    </row>
    <row r="497" spans="2:29" x14ac:dyDescent="0.35">
      <c r="B497" t="s">
        <v>681</v>
      </c>
      <c r="C497">
        <v>136.91</v>
      </c>
      <c r="D497" t="s">
        <v>29</v>
      </c>
      <c r="E497" s="10">
        <v>1271.9982938749999</v>
      </c>
      <c r="F497" t="s">
        <v>30</v>
      </c>
      <c r="G497" s="14">
        <v>46082</v>
      </c>
      <c r="H497">
        <v>8739</v>
      </c>
      <c r="I497">
        <v>1196456.49</v>
      </c>
      <c r="J497">
        <v>73047.691080000004</v>
      </c>
      <c r="K497" t="s">
        <v>54</v>
      </c>
      <c r="L497" s="9" t="s">
        <v>55</v>
      </c>
      <c r="M497" t="s">
        <v>56</v>
      </c>
      <c r="N497" s="12">
        <v>681.74024046795989</v>
      </c>
      <c r="O497" s="13">
        <v>0.53596002742355475</v>
      </c>
      <c r="P497" s="9" t="s">
        <v>681</v>
      </c>
      <c r="Q497">
        <v>379.1</v>
      </c>
      <c r="R497">
        <v>379.1</v>
      </c>
      <c r="S497" t="s">
        <v>39</v>
      </c>
      <c r="T497">
        <v>590.25805340704005</v>
      </c>
      <c r="U497">
        <v>5263803.5</v>
      </c>
      <c r="V497">
        <v>8195733.0715567507</v>
      </c>
      <c r="W497" t="s">
        <v>30</v>
      </c>
      <c r="X497" t="s">
        <v>57</v>
      </c>
      <c r="Y497" t="s">
        <v>632</v>
      </c>
      <c r="Z497" t="b">
        <v>0</v>
      </c>
      <c r="AA497" t="s">
        <v>565</v>
      </c>
      <c r="AB497" t="s">
        <v>36</v>
      </c>
      <c r="AC497" t="s">
        <v>262</v>
      </c>
    </row>
    <row r="498" spans="2:29" x14ac:dyDescent="0.35">
      <c r="B498" t="s">
        <v>682</v>
      </c>
      <c r="C498">
        <v>532.4</v>
      </c>
      <c r="D498" t="s">
        <v>29</v>
      </c>
      <c r="E498" s="10">
        <v>4946.4019549999994</v>
      </c>
      <c r="F498" t="s">
        <v>30</v>
      </c>
      <c r="G498" s="14">
        <v>46082</v>
      </c>
      <c r="H498">
        <v>14672</v>
      </c>
      <c r="I498">
        <v>7811372.7999999998</v>
      </c>
      <c r="J498">
        <v>158608.18109500001</v>
      </c>
      <c r="K498" t="s">
        <v>54</v>
      </c>
      <c r="L498" s="9" t="s">
        <v>55</v>
      </c>
      <c r="M498" t="s">
        <v>56</v>
      </c>
      <c r="N498" s="12">
        <v>4598.3505562698238</v>
      </c>
      <c r="O498" s="13">
        <v>0.92963543967987627</v>
      </c>
      <c r="P498" s="9" t="s">
        <v>682</v>
      </c>
      <c r="Q498">
        <v>223.54</v>
      </c>
      <c r="R498">
        <v>223.54</v>
      </c>
      <c r="S498" t="s">
        <v>39</v>
      </c>
      <c r="T498">
        <v>348.051398730176</v>
      </c>
      <c r="U498">
        <v>435455.92</v>
      </c>
      <c r="V498">
        <v>678004.1247263829</v>
      </c>
      <c r="W498" t="s">
        <v>30</v>
      </c>
      <c r="X498" t="s">
        <v>57</v>
      </c>
      <c r="Y498" t="s">
        <v>683</v>
      </c>
      <c r="Z498" t="b">
        <v>0</v>
      </c>
      <c r="AB498" t="s">
        <v>36</v>
      </c>
      <c r="AC498" t="s">
        <v>59</v>
      </c>
    </row>
    <row r="499" spans="2:29" x14ac:dyDescent="0.35">
      <c r="B499" t="s">
        <v>682</v>
      </c>
      <c r="C499">
        <v>686.66</v>
      </c>
      <c r="D499" t="s">
        <v>29</v>
      </c>
      <c r="E499" s="10">
        <v>6379.5949782499993</v>
      </c>
      <c r="F499" t="s">
        <v>30</v>
      </c>
      <c r="G499" s="14">
        <v>46082</v>
      </c>
      <c r="H499">
        <v>15451</v>
      </c>
      <c r="I499">
        <v>10609583.66</v>
      </c>
      <c r="J499">
        <v>97605.034520000001</v>
      </c>
      <c r="K499" t="s">
        <v>54</v>
      </c>
      <c r="L499" s="9" t="s">
        <v>55</v>
      </c>
      <c r="M499" t="s">
        <v>56</v>
      </c>
      <c r="N499" s="12">
        <v>5356.8806485733594</v>
      </c>
      <c r="O499" s="13">
        <v>0.83968977134702316</v>
      </c>
      <c r="P499" s="9" t="s">
        <v>682</v>
      </c>
      <c r="Q499">
        <v>656.85</v>
      </c>
      <c r="R499">
        <v>656.85</v>
      </c>
      <c r="S499" t="s">
        <v>39</v>
      </c>
      <c r="T499">
        <v>1022.7143296766401</v>
      </c>
      <c r="U499">
        <v>1726201.8</v>
      </c>
      <c r="V499">
        <v>2687693.2583902101</v>
      </c>
      <c r="W499" t="s">
        <v>30</v>
      </c>
      <c r="X499" t="s">
        <v>57</v>
      </c>
      <c r="Y499" t="s">
        <v>683</v>
      </c>
      <c r="Z499" t="b">
        <v>0</v>
      </c>
      <c r="AB499" t="s">
        <v>36</v>
      </c>
      <c r="AC499" t="s">
        <v>59</v>
      </c>
    </row>
    <row r="500" spans="2:29" x14ac:dyDescent="0.35">
      <c r="B500" t="s">
        <v>684</v>
      </c>
      <c r="C500">
        <v>139.87</v>
      </c>
      <c r="D500" t="s">
        <v>29</v>
      </c>
      <c r="E500" s="10">
        <v>1299.498950875</v>
      </c>
      <c r="F500" t="s">
        <v>30</v>
      </c>
      <c r="G500" s="14">
        <v>46082</v>
      </c>
      <c r="H500">
        <v>9243</v>
      </c>
      <c r="I500">
        <v>1292818.4100000001</v>
      </c>
      <c r="J500">
        <v>136388.39350000001</v>
      </c>
      <c r="K500" t="s">
        <v>54</v>
      </c>
      <c r="L500" s="9" t="s">
        <v>55</v>
      </c>
      <c r="M500" t="s">
        <v>56</v>
      </c>
      <c r="N500" s="12">
        <v>1066.4941561180399</v>
      </c>
      <c r="O500" s="13">
        <v>0.8206964348835607</v>
      </c>
      <c r="P500" s="9" t="s">
        <v>684</v>
      </c>
      <c r="Q500">
        <v>149.65</v>
      </c>
      <c r="R500">
        <v>149.65</v>
      </c>
      <c r="S500" t="s">
        <v>39</v>
      </c>
      <c r="T500">
        <v>233.00479475696002</v>
      </c>
      <c r="U500">
        <v>510456.15</v>
      </c>
      <c r="V500">
        <v>794779.35491599061</v>
      </c>
      <c r="W500" t="s">
        <v>30</v>
      </c>
      <c r="X500" t="s">
        <v>57</v>
      </c>
      <c r="Y500" t="s">
        <v>685</v>
      </c>
      <c r="Z500" t="b">
        <v>0</v>
      </c>
      <c r="AA500" t="s">
        <v>565</v>
      </c>
      <c r="AB500" t="s">
        <v>36</v>
      </c>
      <c r="AC500" t="s">
        <v>686</v>
      </c>
    </row>
    <row r="501" spans="2:29" x14ac:dyDescent="0.35">
      <c r="B501" t="s">
        <v>684</v>
      </c>
      <c r="C501">
        <v>25.96</v>
      </c>
      <c r="D501" t="s">
        <v>29</v>
      </c>
      <c r="E501" s="10">
        <v>241.18819450000001</v>
      </c>
      <c r="F501" t="s">
        <v>30</v>
      </c>
      <c r="G501" s="14">
        <v>46082</v>
      </c>
      <c r="H501">
        <v>8477</v>
      </c>
      <c r="I501">
        <v>220062.92</v>
      </c>
      <c r="J501">
        <v>68194.196750000003</v>
      </c>
      <c r="K501" t="s">
        <v>54</v>
      </c>
      <c r="L501" s="9" t="s">
        <v>55</v>
      </c>
      <c r="M501" t="s">
        <v>56</v>
      </c>
      <c r="N501" s="12">
        <v>583.92748163433612</v>
      </c>
      <c r="O501" s="13">
        <v>2.421045038480671</v>
      </c>
      <c r="P501" s="9" t="s">
        <v>684</v>
      </c>
      <c r="Q501">
        <v>529.94000000000005</v>
      </c>
      <c r="R501">
        <v>529.94000000000005</v>
      </c>
      <c r="S501" t="s">
        <v>39</v>
      </c>
      <c r="T501">
        <v>825.11567613433613</v>
      </c>
      <c r="U501">
        <v>6135645.3200000003</v>
      </c>
      <c r="V501">
        <v>9553189.2982833441</v>
      </c>
      <c r="W501" t="s">
        <v>30</v>
      </c>
      <c r="X501" t="s">
        <v>57</v>
      </c>
      <c r="Y501" t="s">
        <v>685</v>
      </c>
      <c r="Z501" t="b">
        <v>0</v>
      </c>
      <c r="AA501" t="s">
        <v>565</v>
      </c>
      <c r="AB501" t="s">
        <v>36</v>
      </c>
      <c r="AC501" t="s">
        <v>686</v>
      </c>
    </row>
    <row r="502" spans="2:29" x14ac:dyDescent="0.35">
      <c r="B502" t="s">
        <v>684</v>
      </c>
      <c r="C502">
        <v>124.33</v>
      </c>
      <c r="D502" t="s">
        <v>29</v>
      </c>
      <c r="E502" s="10">
        <v>1155.1205016249999</v>
      </c>
      <c r="F502" t="s">
        <v>30</v>
      </c>
      <c r="G502" s="14">
        <v>46082</v>
      </c>
      <c r="H502">
        <v>10598</v>
      </c>
      <c r="I502">
        <v>1317649.3400000001</v>
      </c>
      <c r="J502">
        <v>136388.39350000001</v>
      </c>
      <c r="K502" t="s">
        <v>54</v>
      </c>
      <c r="L502" s="9" t="s">
        <v>55</v>
      </c>
      <c r="M502" t="s">
        <v>56</v>
      </c>
      <c r="N502" s="12">
        <v>275.99255465792783</v>
      </c>
      <c r="O502" s="13">
        <v>0.23892966514720079</v>
      </c>
      <c r="P502" s="9" t="s">
        <v>684</v>
      </c>
      <c r="Q502">
        <v>564.63</v>
      </c>
      <c r="R502">
        <v>564.63</v>
      </c>
      <c r="S502" t="s">
        <v>39</v>
      </c>
      <c r="T502">
        <v>879.12794696707203</v>
      </c>
      <c r="U502">
        <v>4598911.3499999996</v>
      </c>
      <c r="V502">
        <v>7160497.1280468013</v>
      </c>
      <c r="W502" t="s">
        <v>30</v>
      </c>
      <c r="X502" t="s">
        <v>57</v>
      </c>
      <c r="Y502" t="s">
        <v>685</v>
      </c>
      <c r="Z502" t="b">
        <v>0</v>
      </c>
      <c r="AA502" t="s">
        <v>565</v>
      </c>
      <c r="AB502" t="s">
        <v>36</v>
      </c>
      <c r="AC502" t="s">
        <v>686</v>
      </c>
    </row>
    <row r="503" spans="2:29" x14ac:dyDescent="0.35">
      <c r="B503" t="s">
        <v>687</v>
      </c>
      <c r="C503">
        <v>139.69999999999999</v>
      </c>
      <c r="D503" t="s">
        <v>29</v>
      </c>
      <c r="E503" s="10">
        <v>1297.9195212499999</v>
      </c>
      <c r="F503" t="s">
        <v>30</v>
      </c>
      <c r="G503" s="14">
        <v>46082</v>
      </c>
      <c r="H503">
        <v>542</v>
      </c>
      <c r="I503">
        <v>75717.399999999994</v>
      </c>
      <c r="J503">
        <v>71817.594125000003</v>
      </c>
      <c r="K503" t="s">
        <v>54</v>
      </c>
      <c r="L503" s="9" t="s">
        <v>55</v>
      </c>
      <c r="M503" t="s">
        <v>56</v>
      </c>
      <c r="N503" s="12">
        <v>356.86975211463994</v>
      </c>
      <c r="O503" s="13">
        <v>0.27495522354956642</v>
      </c>
      <c r="P503" s="9" t="s">
        <v>687</v>
      </c>
      <c r="Q503">
        <v>604.4</v>
      </c>
      <c r="R503">
        <v>604.4</v>
      </c>
      <c r="S503" t="s">
        <v>39</v>
      </c>
      <c r="T503">
        <v>941.04976913535995</v>
      </c>
      <c r="U503">
        <v>6254331.2000000002</v>
      </c>
      <c r="V503">
        <v>9737983.011012705</v>
      </c>
      <c r="W503" t="s">
        <v>30</v>
      </c>
      <c r="X503" t="s">
        <v>57</v>
      </c>
      <c r="Y503" t="s">
        <v>688</v>
      </c>
      <c r="Z503" t="b">
        <v>0</v>
      </c>
      <c r="AA503" t="s">
        <v>565</v>
      </c>
      <c r="AB503" t="s">
        <v>36</v>
      </c>
      <c r="AC503" t="s">
        <v>686</v>
      </c>
    </row>
    <row r="504" spans="2:29" x14ac:dyDescent="0.35">
      <c r="B504" t="s">
        <v>687</v>
      </c>
      <c r="C504">
        <v>114.1</v>
      </c>
      <c r="D504" t="s">
        <v>29</v>
      </c>
      <c r="E504" s="10">
        <v>1060.07600125</v>
      </c>
      <c r="F504" t="s">
        <v>30</v>
      </c>
      <c r="G504" s="14">
        <v>46082</v>
      </c>
      <c r="H504">
        <v>8314</v>
      </c>
      <c r="I504">
        <v>948627.39999999991</v>
      </c>
      <c r="J504">
        <v>143635.18825000001</v>
      </c>
      <c r="K504" t="s">
        <v>54</v>
      </c>
      <c r="L504" s="9" t="s">
        <v>55</v>
      </c>
      <c r="M504" t="s">
        <v>56</v>
      </c>
      <c r="N504" s="12">
        <v>333.12607257911986</v>
      </c>
      <c r="O504" s="13">
        <v>0.31424734847908137</v>
      </c>
      <c r="P504" s="9" t="s">
        <v>687</v>
      </c>
      <c r="Q504">
        <v>894.8</v>
      </c>
      <c r="R504">
        <v>894.8</v>
      </c>
      <c r="S504" t="s">
        <v>39</v>
      </c>
      <c r="T504">
        <v>1393.2020738291199</v>
      </c>
      <c r="U504">
        <v>3847640</v>
      </c>
      <c r="V504">
        <v>5990768.9174652155</v>
      </c>
      <c r="W504" t="s">
        <v>30</v>
      </c>
      <c r="X504" t="s">
        <v>57</v>
      </c>
      <c r="Y504" t="s">
        <v>688</v>
      </c>
      <c r="Z504" t="b">
        <v>0</v>
      </c>
      <c r="AA504" t="s">
        <v>565</v>
      </c>
      <c r="AB504" t="s">
        <v>36</v>
      </c>
      <c r="AC504" t="s">
        <v>686</v>
      </c>
    </row>
    <row r="505" spans="2:29" x14ac:dyDescent="0.35">
      <c r="B505" t="s">
        <v>687</v>
      </c>
      <c r="C505">
        <v>197.21</v>
      </c>
      <c r="D505" t="s">
        <v>29</v>
      </c>
      <c r="E505" s="10">
        <v>1832.231272625</v>
      </c>
      <c r="F505" t="s">
        <v>30</v>
      </c>
      <c r="G505" s="14">
        <v>46082</v>
      </c>
      <c r="H505">
        <v>17135</v>
      </c>
      <c r="I505">
        <v>3379193.35</v>
      </c>
      <c r="J505">
        <v>71817.594125000003</v>
      </c>
      <c r="K505" t="s">
        <v>54</v>
      </c>
      <c r="L505" s="9" t="s">
        <v>55</v>
      </c>
      <c r="M505" t="s">
        <v>56</v>
      </c>
      <c r="N505" s="12">
        <v>1236.227895511624</v>
      </c>
      <c r="O505" s="13">
        <v>0.67471171024196397</v>
      </c>
      <c r="P505" s="9" t="s">
        <v>687</v>
      </c>
      <c r="Q505">
        <v>382.79</v>
      </c>
      <c r="R505">
        <v>382.79</v>
      </c>
      <c r="S505" t="s">
        <v>39</v>
      </c>
      <c r="T505">
        <v>596.00337711337602</v>
      </c>
      <c r="U505">
        <v>6361204.2200000007</v>
      </c>
      <c r="V505">
        <v>9904384.1208700836</v>
      </c>
      <c r="W505" t="s">
        <v>30</v>
      </c>
      <c r="X505" t="s">
        <v>57</v>
      </c>
      <c r="Y505" t="s">
        <v>688</v>
      </c>
      <c r="Z505" t="b">
        <v>0</v>
      </c>
      <c r="AA505" t="s">
        <v>565</v>
      </c>
      <c r="AB505" t="s">
        <v>36</v>
      </c>
      <c r="AC505" t="s">
        <v>686</v>
      </c>
    </row>
    <row r="506" spans="2:29" x14ac:dyDescent="0.35">
      <c r="B506" t="s">
        <v>689</v>
      </c>
      <c r="C506">
        <v>107.21</v>
      </c>
      <c r="D506" t="s">
        <v>29</v>
      </c>
      <c r="E506" s="10">
        <v>996.06264762499995</v>
      </c>
      <c r="F506" t="s">
        <v>30</v>
      </c>
      <c r="G506" s="14">
        <v>46082</v>
      </c>
      <c r="H506">
        <v>7948</v>
      </c>
      <c r="I506">
        <v>852105.08</v>
      </c>
      <c r="J506">
        <v>132449.1102</v>
      </c>
      <c r="K506" t="s">
        <v>54</v>
      </c>
      <c r="L506" s="9" t="s">
        <v>55</v>
      </c>
      <c r="M506" t="s">
        <v>56</v>
      </c>
      <c r="N506" s="12">
        <v>193.68645907487212</v>
      </c>
      <c r="O506" s="13">
        <v>0.19445208545536349</v>
      </c>
      <c r="P506" s="9" t="s">
        <v>689</v>
      </c>
      <c r="Q506">
        <v>764.13</v>
      </c>
      <c r="R506">
        <v>764.13</v>
      </c>
      <c r="S506" t="s">
        <v>39</v>
      </c>
      <c r="T506">
        <v>1189.7491066998721</v>
      </c>
      <c r="U506">
        <v>1033103.76</v>
      </c>
      <c r="V506">
        <v>1608540.792258227</v>
      </c>
      <c r="W506" t="s">
        <v>30</v>
      </c>
      <c r="X506" t="s">
        <v>57</v>
      </c>
      <c r="Y506" t="s">
        <v>690</v>
      </c>
      <c r="Z506" t="b">
        <v>0</v>
      </c>
      <c r="AA506" t="s">
        <v>565</v>
      </c>
      <c r="AB506" t="s">
        <v>36</v>
      </c>
      <c r="AC506" t="s">
        <v>686</v>
      </c>
    </row>
    <row r="507" spans="2:29" x14ac:dyDescent="0.35">
      <c r="B507" t="s">
        <v>689</v>
      </c>
      <c r="C507">
        <v>401.19</v>
      </c>
      <c r="D507" t="s">
        <v>29</v>
      </c>
      <c r="E507" s="10">
        <v>3727.3610073749996</v>
      </c>
      <c r="F507" t="s">
        <v>30</v>
      </c>
      <c r="G507" s="14">
        <v>46082</v>
      </c>
      <c r="H507">
        <v>10446</v>
      </c>
      <c r="I507">
        <v>4190830.7399999998</v>
      </c>
      <c r="J507">
        <v>264898.22039999999</v>
      </c>
      <c r="K507" t="s">
        <v>54</v>
      </c>
      <c r="L507" s="9" t="s">
        <v>55</v>
      </c>
      <c r="M507" t="s">
        <v>56</v>
      </c>
      <c r="N507" s="12">
        <v>3459.0902012498796</v>
      </c>
      <c r="O507" s="13">
        <v>0.92802661035667955</v>
      </c>
      <c r="P507" s="9" t="s">
        <v>689</v>
      </c>
      <c r="Q507">
        <v>172.3</v>
      </c>
      <c r="R507">
        <v>172.3</v>
      </c>
      <c r="S507" t="s">
        <v>39</v>
      </c>
      <c r="T507">
        <v>268.27080612512003</v>
      </c>
      <c r="U507">
        <v>3329697.5</v>
      </c>
      <c r="V507">
        <v>5184333.3283679448</v>
      </c>
      <c r="W507" t="s">
        <v>30</v>
      </c>
      <c r="X507" t="s">
        <v>57</v>
      </c>
      <c r="Y507" t="s">
        <v>690</v>
      </c>
      <c r="Z507" t="b">
        <v>0</v>
      </c>
      <c r="AA507" t="s">
        <v>565</v>
      </c>
      <c r="AB507" t="s">
        <v>36</v>
      </c>
      <c r="AC507" t="s">
        <v>686</v>
      </c>
    </row>
    <row r="508" spans="2:29" x14ac:dyDescent="0.35">
      <c r="B508" t="s">
        <v>689</v>
      </c>
      <c r="C508">
        <v>195.48</v>
      </c>
      <c r="D508" t="s">
        <v>29</v>
      </c>
      <c r="E508" s="10">
        <v>1816.1582534999998</v>
      </c>
      <c r="F508" t="s">
        <v>30</v>
      </c>
      <c r="G508" s="14">
        <v>46082</v>
      </c>
      <c r="H508">
        <v>1533</v>
      </c>
      <c r="I508">
        <v>299670.83999999997</v>
      </c>
      <c r="J508">
        <v>397347.33059999999</v>
      </c>
      <c r="K508" t="s">
        <v>54</v>
      </c>
      <c r="L508" s="9" t="s">
        <v>55</v>
      </c>
      <c r="M508" t="s">
        <v>56</v>
      </c>
      <c r="N508" s="12">
        <v>1560.6236934230717</v>
      </c>
      <c r="O508" s="13">
        <v>0.85929939773448927</v>
      </c>
      <c r="P508" s="9" t="s">
        <v>689</v>
      </c>
      <c r="Q508">
        <v>164.12</v>
      </c>
      <c r="R508">
        <v>164.12</v>
      </c>
      <c r="S508" t="s">
        <v>39</v>
      </c>
      <c r="T508">
        <v>255.53456007692802</v>
      </c>
      <c r="U508">
        <v>540775.4</v>
      </c>
      <c r="V508">
        <v>841986.37545347784</v>
      </c>
      <c r="W508" t="s">
        <v>30</v>
      </c>
      <c r="X508" t="s">
        <v>57</v>
      </c>
      <c r="Y508" t="s">
        <v>690</v>
      </c>
      <c r="Z508" t="b">
        <v>0</v>
      </c>
      <c r="AA508" t="s">
        <v>565</v>
      </c>
      <c r="AB508" t="s">
        <v>36</v>
      </c>
      <c r="AC508" t="s">
        <v>686</v>
      </c>
    </row>
    <row r="509" spans="2:29" x14ac:dyDescent="0.35">
      <c r="B509" t="s">
        <v>691</v>
      </c>
      <c r="C509">
        <v>168</v>
      </c>
      <c r="D509" t="s">
        <v>29</v>
      </c>
      <c r="E509" s="10">
        <v>1560.8480999999999</v>
      </c>
      <c r="F509" t="s">
        <v>30</v>
      </c>
      <c r="G509" s="14">
        <v>46082</v>
      </c>
      <c r="H509">
        <v>12548</v>
      </c>
      <c r="I509">
        <v>2108064</v>
      </c>
      <c r="J509">
        <v>144043.98180000001</v>
      </c>
      <c r="K509" t="s">
        <v>54</v>
      </c>
      <c r="L509" s="9" t="s">
        <v>55</v>
      </c>
      <c r="M509" t="s">
        <v>56</v>
      </c>
      <c r="N509" s="12">
        <v>302.80904810774382</v>
      </c>
      <c r="O509" s="13">
        <v>0.19400289375227725</v>
      </c>
      <c r="P509" s="9" t="s">
        <v>691</v>
      </c>
      <c r="Q509">
        <v>807.99</v>
      </c>
      <c r="R509">
        <v>807.99</v>
      </c>
      <c r="S509" t="s">
        <v>39</v>
      </c>
      <c r="T509">
        <v>1258.0390518922561</v>
      </c>
      <c r="U509">
        <v>5352125.76</v>
      </c>
      <c r="V509">
        <v>8333250.6797343045</v>
      </c>
      <c r="W509" t="s">
        <v>30</v>
      </c>
      <c r="X509" t="s">
        <v>57</v>
      </c>
      <c r="Y509" t="s">
        <v>692</v>
      </c>
      <c r="Z509" t="b">
        <v>0</v>
      </c>
      <c r="AA509" t="s">
        <v>565</v>
      </c>
      <c r="AB509" t="s">
        <v>36</v>
      </c>
      <c r="AC509" t="s">
        <v>686</v>
      </c>
    </row>
    <row r="510" spans="2:29" x14ac:dyDescent="0.35">
      <c r="B510" t="s">
        <v>691</v>
      </c>
      <c r="C510">
        <v>608.11</v>
      </c>
      <c r="D510" t="s">
        <v>29</v>
      </c>
      <c r="E510" s="10">
        <v>5649.8055838749997</v>
      </c>
      <c r="F510" t="s">
        <v>30</v>
      </c>
      <c r="G510" s="14">
        <v>46082</v>
      </c>
      <c r="H510">
        <v>3625</v>
      </c>
      <c r="I510">
        <v>2204398.75</v>
      </c>
      <c r="J510">
        <v>288087.96360000002</v>
      </c>
      <c r="K510" t="s">
        <v>54</v>
      </c>
      <c r="L510" s="9" t="s">
        <v>55</v>
      </c>
      <c r="M510" t="s">
        <v>56</v>
      </c>
      <c r="N510" s="12">
        <v>4142.3821151686952</v>
      </c>
      <c r="O510" s="13">
        <v>0.7331902051623489</v>
      </c>
      <c r="P510" s="9" t="s">
        <v>691</v>
      </c>
      <c r="Q510">
        <v>968.16</v>
      </c>
      <c r="R510">
        <v>968.16</v>
      </c>
      <c r="S510" t="s">
        <v>39</v>
      </c>
      <c r="T510">
        <v>1507.423468706304</v>
      </c>
      <c r="U510">
        <v>7155670.5599999996</v>
      </c>
      <c r="V510">
        <v>11141366.857208293</v>
      </c>
      <c r="W510" t="s">
        <v>30</v>
      </c>
      <c r="X510" t="s">
        <v>57</v>
      </c>
      <c r="Y510" t="s">
        <v>692</v>
      </c>
      <c r="Z510" t="b">
        <v>0</v>
      </c>
      <c r="AA510" t="s">
        <v>565</v>
      </c>
      <c r="AB510" t="s">
        <v>36</v>
      </c>
      <c r="AC510" t="s">
        <v>686</v>
      </c>
    </row>
    <row r="511" spans="2:29" x14ac:dyDescent="0.35">
      <c r="B511" t="s">
        <v>691</v>
      </c>
      <c r="C511">
        <v>662.77</v>
      </c>
      <c r="D511" t="s">
        <v>29</v>
      </c>
      <c r="E511" s="10">
        <v>6157.6386621249994</v>
      </c>
      <c r="F511" t="s">
        <v>30</v>
      </c>
      <c r="G511" s="14">
        <v>46082</v>
      </c>
      <c r="H511">
        <v>11576</v>
      </c>
      <c r="I511">
        <v>7672225.5199999996</v>
      </c>
      <c r="J511">
        <v>34750.610609249998</v>
      </c>
      <c r="K511" t="s">
        <v>54</v>
      </c>
      <c r="L511" s="9" t="s">
        <v>55</v>
      </c>
      <c r="M511" t="s">
        <v>56</v>
      </c>
      <c r="N511" s="12">
        <v>4604.2058938191749</v>
      </c>
      <c r="O511" s="13">
        <v>0.74772264929073717</v>
      </c>
      <c r="P511" s="9" t="s">
        <v>691</v>
      </c>
      <c r="Q511">
        <v>997.71</v>
      </c>
      <c r="R511">
        <v>997.71</v>
      </c>
      <c r="S511" t="s">
        <v>39</v>
      </c>
      <c r="T511">
        <v>1553.4327683058241</v>
      </c>
      <c r="U511">
        <v>2295730.71</v>
      </c>
      <c r="V511">
        <v>3574448.7998717013</v>
      </c>
      <c r="W511" t="s">
        <v>30</v>
      </c>
      <c r="X511" t="s">
        <v>57</v>
      </c>
      <c r="Y511" t="s">
        <v>692</v>
      </c>
      <c r="Z511" t="b">
        <v>0</v>
      </c>
      <c r="AA511" t="s">
        <v>565</v>
      </c>
      <c r="AB511" t="s">
        <v>36</v>
      </c>
      <c r="AC511" t="s">
        <v>686</v>
      </c>
    </row>
    <row r="512" spans="2:29" x14ac:dyDescent="0.35">
      <c r="B512" t="s">
        <v>691</v>
      </c>
      <c r="C512">
        <v>835.33</v>
      </c>
      <c r="D512" t="s">
        <v>29</v>
      </c>
      <c r="E512" s="10">
        <v>7760.8526391249998</v>
      </c>
      <c r="F512" t="s">
        <v>30</v>
      </c>
      <c r="G512" s="14">
        <v>46082</v>
      </c>
      <c r="H512">
        <v>5773</v>
      </c>
      <c r="I512">
        <v>4822360.09</v>
      </c>
      <c r="J512">
        <v>324098.95905</v>
      </c>
      <c r="K512" t="s">
        <v>54</v>
      </c>
      <c r="L512" s="9" t="s">
        <v>55</v>
      </c>
      <c r="M512" t="s">
        <v>56</v>
      </c>
      <c r="N512" s="12">
        <v>6567.3823065015113</v>
      </c>
      <c r="O512" s="13">
        <v>0.8462191735729121</v>
      </c>
      <c r="P512" s="9" t="s">
        <v>691</v>
      </c>
      <c r="Q512">
        <v>766.52</v>
      </c>
      <c r="R512">
        <v>766.52</v>
      </c>
      <c r="S512" t="s">
        <v>39</v>
      </c>
      <c r="T512">
        <v>1193.470332623488</v>
      </c>
      <c r="U512">
        <v>1063163.24</v>
      </c>
      <c r="V512">
        <v>1655343.351348778</v>
      </c>
      <c r="W512" t="s">
        <v>30</v>
      </c>
      <c r="X512" t="s">
        <v>57</v>
      </c>
      <c r="Y512" t="s">
        <v>692</v>
      </c>
      <c r="Z512" t="b">
        <v>0</v>
      </c>
      <c r="AA512" t="s">
        <v>565</v>
      </c>
      <c r="AB512" t="s">
        <v>36</v>
      </c>
      <c r="AC512" t="s">
        <v>686</v>
      </c>
    </row>
    <row r="513" spans="2:29" x14ac:dyDescent="0.35">
      <c r="B513" t="s">
        <v>691</v>
      </c>
      <c r="C513">
        <v>733.15</v>
      </c>
      <c r="D513" t="s">
        <v>29</v>
      </c>
      <c r="E513" s="10">
        <v>6811.5225268749991</v>
      </c>
      <c r="F513" t="s">
        <v>30</v>
      </c>
      <c r="G513" s="14">
        <v>46082</v>
      </c>
      <c r="H513">
        <v>11822</v>
      </c>
      <c r="I513">
        <v>8667299.2999999989</v>
      </c>
      <c r="J513">
        <v>144043.98180000001</v>
      </c>
      <c r="K513" t="s">
        <v>54</v>
      </c>
      <c r="L513" s="9" t="s">
        <v>55</v>
      </c>
      <c r="M513" t="s">
        <v>56</v>
      </c>
      <c r="N513" s="12">
        <v>5319.1863716414309</v>
      </c>
      <c r="O513" s="13">
        <v>0.78091004627151628</v>
      </c>
      <c r="P513" s="9" t="s">
        <v>691</v>
      </c>
      <c r="Q513">
        <v>958.47</v>
      </c>
      <c r="R513">
        <v>958.47</v>
      </c>
      <c r="S513" t="s">
        <v>39</v>
      </c>
      <c r="T513">
        <v>1492.336155233568</v>
      </c>
      <c r="U513">
        <v>9752432.25</v>
      </c>
      <c r="V513">
        <v>15184520.379501555</v>
      </c>
      <c r="W513" t="s">
        <v>30</v>
      </c>
      <c r="X513" t="s">
        <v>57</v>
      </c>
      <c r="Y513" t="s">
        <v>692</v>
      </c>
      <c r="Z513" t="b">
        <v>0</v>
      </c>
      <c r="AA513" t="s">
        <v>565</v>
      </c>
      <c r="AB513" t="s">
        <v>36</v>
      </c>
      <c r="AC513" t="s">
        <v>686</v>
      </c>
    </row>
    <row r="514" spans="2:29" x14ac:dyDescent="0.35">
      <c r="B514" t="s">
        <v>693</v>
      </c>
      <c r="C514">
        <v>994.25</v>
      </c>
      <c r="D514" t="s">
        <v>29</v>
      </c>
      <c r="E514" s="10">
        <v>9237.3406156250003</v>
      </c>
      <c r="F514" t="s">
        <v>30</v>
      </c>
      <c r="G514" s="14">
        <v>46082</v>
      </c>
      <c r="H514">
        <v>8013</v>
      </c>
      <c r="I514">
        <v>7966925.25</v>
      </c>
      <c r="J514">
        <v>37153.759237500002</v>
      </c>
      <c r="K514" t="s">
        <v>54</v>
      </c>
      <c r="L514" s="9" t="s">
        <v>55</v>
      </c>
      <c r="M514" t="s">
        <v>56</v>
      </c>
      <c r="N514" s="12">
        <v>9108.5301467292884</v>
      </c>
      <c r="O514" s="13">
        <v>0.98605545965493269</v>
      </c>
      <c r="P514" s="9" t="s">
        <v>693</v>
      </c>
      <c r="Q514">
        <v>82.73</v>
      </c>
      <c r="R514">
        <v>82.73</v>
      </c>
      <c r="S514" t="s">
        <v>39</v>
      </c>
      <c r="T514">
        <v>128.81046889571201</v>
      </c>
      <c r="U514">
        <v>894559.49</v>
      </c>
      <c r="V514">
        <v>1392827.6001693339</v>
      </c>
      <c r="W514" t="s">
        <v>30</v>
      </c>
      <c r="X514" t="s">
        <v>694</v>
      </c>
      <c r="Y514" t="s">
        <v>695</v>
      </c>
      <c r="Z514" t="b">
        <v>0</v>
      </c>
      <c r="AA514" t="s">
        <v>565</v>
      </c>
      <c r="AB514" t="s">
        <v>36</v>
      </c>
      <c r="AC514" t="s">
        <v>696</v>
      </c>
    </row>
    <row r="515" spans="2:29" x14ac:dyDescent="0.35">
      <c r="B515" t="s">
        <v>697</v>
      </c>
      <c r="C515">
        <v>294.92</v>
      </c>
      <c r="D515" t="s">
        <v>29</v>
      </c>
      <c r="E515" s="10">
        <v>2740.0316765000002</v>
      </c>
      <c r="F515" t="s">
        <v>30</v>
      </c>
      <c r="G515" s="14">
        <v>46082</v>
      </c>
      <c r="H515">
        <v>7393</v>
      </c>
      <c r="I515">
        <v>2180343.56</v>
      </c>
      <c r="J515">
        <v>80327.932574999999</v>
      </c>
      <c r="K515" t="s">
        <v>54</v>
      </c>
      <c r="L515" s="9" t="s">
        <v>55</v>
      </c>
      <c r="M515" t="s">
        <v>56</v>
      </c>
      <c r="N515" s="12">
        <v>1679.4822882694402</v>
      </c>
      <c r="O515" s="13">
        <v>0.61294265415746563</v>
      </c>
      <c r="P515" s="9" t="s">
        <v>697</v>
      </c>
      <c r="Q515">
        <v>681.15</v>
      </c>
      <c r="R515">
        <v>681.15</v>
      </c>
      <c r="S515" t="s">
        <v>39</v>
      </c>
      <c r="T515">
        <v>1060.54938823056</v>
      </c>
      <c r="U515">
        <v>5153580.8999999994</v>
      </c>
      <c r="V515">
        <v>8024116.6713524172</v>
      </c>
      <c r="W515" t="s">
        <v>30</v>
      </c>
      <c r="X515" t="s">
        <v>694</v>
      </c>
      <c r="Y515" t="s">
        <v>698</v>
      </c>
      <c r="Z515" t="b">
        <v>0</v>
      </c>
      <c r="AA515" t="s">
        <v>565</v>
      </c>
      <c r="AB515" t="s">
        <v>36</v>
      </c>
      <c r="AC515" t="s">
        <v>696</v>
      </c>
    </row>
    <row r="516" spans="2:29" x14ac:dyDescent="0.35">
      <c r="B516" t="s">
        <v>699</v>
      </c>
      <c r="C516">
        <v>117.21</v>
      </c>
      <c r="D516" t="s">
        <v>29</v>
      </c>
      <c r="E516" s="10">
        <v>1088.970272625</v>
      </c>
      <c r="F516" t="s">
        <v>30</v>
      </c>
      <c r="G516" s="14">
        <v>46082</v>
      </c>
      <c r="H516">
        <v>17545</v>
      </c>
      <c r="I516">
        <v>2056449.45</v>
      </c>
      <c r="J516">
        <v>123251.25532500001</v>
      </c>
      <c r="K516" t="s">
        <v>54</v>
      </c>
      <c r="L516" s="9" t="s">
        <v>55</v>
      </c>
      <c r="M516" t="s">
        <v>56</v>
      </c>
      <c r="N516" s="12">
        <v>281.96672559419994</v>
      </c>
      <c r="O516" s="13">
        <v>0.25892968126164684</v>
      </c>
      <c r="P516" s="9" t="s">
        <v>699</v>
      </c>
      <c r="Q516">
        <v>880.5</v>
      </c>
      <c r="R516">
        <v>880.5</v>
      </c>
      <c r="S516" t="s">
        <v>39</v>
      </c>
      <c r="T516">
        <v>1370.9369982191999</v>
      </c>
      <c r="U516">
        <v>2025150</v>
      </c>
      <c r="V516">
        <v>3153155.0959041598</v>
      </c>
      <c r="W516" t="s">
        <v>30</v>
      </c>
      <c r="X516" t="s">
        <v>694</v>
      </c>
      <c r="Y516" t="s">
        <v>700</v>
      </c>
      <c r="Z516" t="b">
        <v>0</v>
      </c>
      <c r="AA516" t="s">
        <v>565</v>
      </c>
      <c r="AB516" t="s">
        <v>36</v>
      </c>
      <c r="AC516" t="s">
        <v>686</v>
      </c>
    </row>
    <row r="517" spans="2:29" x14ac:dyDescent="0.35">
      <c r="B517" t="s">
        <v>701</v>
      </c>
      <c r="C517">
        <v>788.7</v>
      </c>
      <c r="D517" t="s">
        <v>29</v>
      </c>
      <c r="E517" s="10">
        <v>7327.6243837499997</v>
      </c>
      <c r="F517" t="s">
        <v>30</v>
      </c>
      <c r="G517" s="14">
        <v>46082</v>
      </c>
      <c r="H517">
        <v>16436</v>
      </c>
      <c r="I517">
        <v>12963073.200000001</v>
      </c>
      <c r="J517">
        <v>82178.652465000006</v>
      </c>
      <c r="K517" t="s">
        <v>54</v>
      </c>
      <c r="L517" s="9" t="s">
        <v>55</v>
      </c>
      <c r="M517" t="s">
        <v>56</v>
      </c>
      <c r="N517" s="12">
        <v>6303.3997657277914</v>
      </c>
      <c r="O517" s="13">
        <v>0.86022419212786549</v>
      </c>
      <c r="P517" s="9" t="s">
        <v>701</v>
      </c>
      <c r="Q517">
        <v>657.82</v>
      </c>
      <c r="R517">
        <v>657.82</v>
      </c>
      <c r="S517" t="s">
        <v>39</v>
      </c>
      <c r="T517">
        <v>1024.224618022208</v>
      </c>
      <c r="U517">
        <v>2022138.6800000002</v>
      </c>
      <c r="V517">
        <v>3148466.4758002674</v>
      </c>
      <c r="W517" t="s">
        <v>30</v>
      </c>
      <c r="X517" t="s">
        <v>57</v>
      </c>
      <c r="Y517" t="s">
        <v>34</v>
      </c>
      <c r="Z517" t="b">
        <v>0</v>
      </c>
      <c r="AA517" t="s">
        <v>565</v>
      </c>
      <c r="AB517" t="s">
        <v>36</v>
      </c>
      <c r="AC517" t="s">
        <v>37</v>
      </c>
    </row>
    <row r="518" spans="2:29" x14ac:dyDescent="0.35">
      <c r="B518" t="s">
        <v>701</v>
      </c>
      <c r="C518">
        <v>120.29</v>
      </c>
      <c r="D518" t="s">
        <v>29</v>
      </c>
      <c r="E518" s="10">
        <v>1117.5858211249999</v>
      </c>
      <c r="F518" t="s">
        <v>30</v>
      </c>
      <c r="G518" s="14">
        <v>46082</v>
      </c>
      <c r="H518">
        <v>15103</v>
      </c>
      <c r="I518">
        <v>1816739.87</v>
      </c>
      <c r="J518">
        <v>82178.652465000006</v>
      </c>
      <c r="K518" t="s">
        <v>54</v>
      </c>
      <c r="L518" s="9" t="s">
        <v>55</v>
      </c>
      <c r="M518" t="s">
        <v>56</v>
      </c>
      <c r="N518" s="12">
        <v>757.03172609079195</v>
      </c>
      <c r="O518" s="13">
        <v>0.6773812907976392</v>
      </c>
      <c r="P518" s="9" t="s">
        <v>701</v>
      </c>
      <c r="Q518">
        <v>231.57</v>
      </c>
      <c r="R518">
        <v>231.57</v>
      </c>
      <c r="S518" t="s">
        <v>39</v>
      </c>
      <c r="T518">
        <v>360.55409503420799</v>
      </c>
      <c r="U518">
        <v>3858650.9099999997</v>
      </c>
      <c r="V518">
        <v>6007912.8855550075</v>
      </c>
      <c r="W518" t="s">
        <v>30</v>
      </c>
      <c r="X518" t="s">
        <v>57</v>
      </c>
      <c r="Y518" t="s">
        <v>34</v>
      </c>
      <c r="Z518" t="b">
        <v>0</v>
      </c>
      <c r="AA518" t="s">
        <v>565</v>
      </c>
      <c r="AB518" t="s">
        <v>36</v>
      </c>
      <c r="AC518" t="s">
        <v>37</v>
      </c>
    </row>
    <row r="519" spans="2:29" x14ac:dyDescent="0.35">
      <c r="B519" t="s">
        <v>702</v>
      </c>
      <c r="C519">
        <v>384.23</v>
      </c>
      <c r="D519" t="s">
        <v>29</v>
      </c>
      <c r="E519" s="10">
        <v>3569.7896753750001</v>
      </c>
      <c r="F519" t="s">
        <v>30</v>
      </c>
      <c r="G519" s="14">
        <v>46082</v>
      </c>
      <c r="H519">
        <v>10439</v>
      </c>
      <c r="I519">
        <v>4010976.97</v>
      </c>
      <c r="J519">
        <v>63116.795043749997</v>
      </c>
      <c r="K519" t="s">
        <v>54</v>
      </c>
      <c r="L519" s="9" t="s">
        <v>55</v>
      </c>
      <c r="M519" t="s">
        <v>56</v>
      </c>
      <c r="N519" s="12">
        <v>2617.4516686052402</v>
      </c>
      <c r="O519" s="13">
        <v>0.73322293653905013</v>
      </c>
      <c r="P519" s="9" t="s">
        <v>702</v>
      </c>
      <c r="Q519">
        <v>611.65</v>
      </c>
      <c r="R519">
        <v>611.65</v>
      </c>
      <c r="S519" t="s">
        <v>39</v>
      </c>
      <c r="T519">
        <v>952.33800676976</v>
      </c>
      <c r="U519">
        <v>4345773.25</v>
      </c>
      <c r="V519">
        <v>6766361.5380991446</v>
      </c>
      <c r="W519" t="s">
        <v>30</v>
      </c>
      <c r="X519" t="s">
        <v>57</v>
      </c>
      <c r="Y519" t="s">
        <v>503</v>
      </c>
      <c r="Z519" t="b">
        <v>0</v>
      </c>
      <c r="AA519" t="s">
        <v>565</v>
      </c>
      <c r="AB519" t="s">
        <v>36</v>
      </c>
      <c r="AC519" t="s">
        <v>158</v>
      </c>
    </row>
    <row r="520" spans="2:29" x14ac:dyDescent="0.35">
      <c r="B520" t="s">
        <v>703</v>
      </c>
      <c r="C520">
        <v>173.61</v>
      </c>
      <c r="D520" t="s">
        <v>29</v>
      </c>
      <c r="E520" s="10">
        <v>1612.9692776250001</v>
      </c>
      <c r="F520" t="s">
        <v>30</v>
      </c>
      <c r="G520" s="14">
        <v>46082</v>
      </c>
      <c r="H520">
        <v>8857</v>
      </c>
      <c r="I520">
        <v>1537663.77</v>
      </c>
      <c r="J520">
        <v>68705.188687500005</v>
      </c>
      <c r="K520" t="s">
        <v>54</v>
      </c>
      <c r="L520" s="9" t="s">
        <v>55</v>
      </c>
      <c r="M520" t="s">
        <v>56</v>
      </c>
      <c r="N520" s="12">
        <v>315.13334932788007</v>
      </c>
      <c r="O520" s="13">
        <v>0.19537467557466123</v>
      </c>
      <c r="P520" s="9" t="s">
        <v>703</v>
      </c>
      <c r="Q520">
        <v>833.55</v>
      </c>
      <c r="R520">
        <v>833.55</v>
      </c>
      <c r="S520" t="s">
        <v>39</v>
      </c>
      <c r="T520">
        <v>1297.8359282971201</v>
      </c>
      <c r="U520">
        <v>12026459.399999999</v>
      </c>
      <c r="V520">
        <v>18725176.773470849</v>
      </c>
      <c r="W520" t="s">
        <v>30</v>
      </c>
      <c r="X520" t="s">
        <v>57</v>
      </c>
      <c r="Y520" t="s">
        <v>634</v>
      </c>
      <c r="Z520" t="b">
        <v>0</v>
      </c>
      <c r="AA520" t="s">
        <v>565</v>
      </c>
      <c r="AB520" t="s">
        <v>36</v>
      </c>
      <c r="AC520" t="s">
        <v>635</v>
      </c>
    </row>
    <row r="521" spans="2:29" x14ac:dyDescent="0.35">
      <c r="B521" t="s">
        <v>704</v>
      </c>
      <c r="C521">
        <v>621.70000000000005</v>
      </c>
      <c r="D521" t="s">
        <v>29</v>
      </c>
      <c r="E521" s="10">
        <v>5776.0670462500002</v>
      </c>
      <c r="F521" t="s">
        <v>30</v>
      </c>
      <c r="G521" s="14">
        <v>46082</v>
      </c>
      <c r="H521">
        <v>11075</v>
      </c>
      <c r="I521">
        <v>6885327.5000000009</v>
      </c>
      <c r="J521">
        <v>65569.556343749995</v>
      </c>
      <c r="K521" t="s">
        <v>54</v>
      </c>
      <c r="L521" s="9" t="s">
        <v>55</v>
      </c>
      <c r="M521" t="s">
        <v>56</v>
      </c>
      <c r="N521" s="12">
        <v>5588.697871501904</v>
      </c>
      <c r="O521" s="13">
        <v>0.96756111498571651</v>
      </c>
      <c r="P521" s="9" t="s">
        <v>704</v>
      </c>
      <c r="Q521">
        <v>120.34</v>
      </c>
      <c r="R521">
        <v>120.34</v>
      </c>
      <c r="S521" t="s">
        <v>39</v>
      </c>
      <c r="T521">
        <v>187.36917474809601</v>
      </c>
      <c r="U521">
        <v>1217840.8</v>
      </c>
      <c r="V521">
        <v>1896176.0484507317</v>
      </c>
      <c r="W521" t="s">
        <v>30</v>
      </c>
      <c r="X521" t="s">
        <v>57</v>
      </c>
      <c r="Y521" t="s">
        <v>644</v>
      </c>
      <c r="Z521" t="b">
        <v>0</v>
      </c>
      <c r="AA521" t="s">
        <v>565</v>
      </c>
      <c r="AB521" t="s">
        <v>36</v>
      </c>
      <c r="AC521" t="s">
        <v>187</v>
      </c>
    </row>
    <row r="522" spans="2:29" x14ac:dyDescent="0.35">
      <c r="B522" t="s">
        <v>705</v>
      </c>
      <c r="C522">
        <v>721.3</v>
      </c>
      <c r="D522" t="s">
        <v>29</v>
      </c>
      <c r="E522" s="10">
        <v>6701.4269912499994</v>
      </c>
      <c r="F522" t="s">
        <v>30</v>
      </c>
      <c r="G522" s="14">
        <v>46082</v>
      </c>
      <c r="H522">
        <v>14464</v>
      </c>
      <c r="I522">
        <v>10432883.199999999</v>
      </c>
      <c r="J522">
        <v>219261.995</v>
      </c>
      <c r="K522" t="s">
        <v>706</v>
      </c>
      <c r="L522" s="9" t="s">
        <v>707</v>
      </c>
      <c r="M522" t="s">
        <v>56</v>
      </c>
      <c r="N522" s="12">
        <v>5428.5030356632797</v>
      </c>
      <c r="O522" s="13">
        <v>0.81005180579468128</v>
      </c>
      <c r="P522" s="9" t="s">
        <v>705</v>
      </c>
      <c r="Q522">
        <v>817.55</v>
      </c>
      <c r="R522">
        <v>817.55</v>
      </c>
      <c r="S522" t="s">
        <v>39</v>
      </c>
      <c r="T522">
        <v>1272.92395558672</v>
      </c>
      <c r="U522">
        <v>3898078.4</v>
      </c>
      <c r="V522">
        <v>6069301.4202374807</v>
      </c>
      <c r="W522" t="s">
        <v>30</v>
      </c>
      <c r="X522" t="s">
        <v>708</v>
      </c>
      <c r="Y522" t="s">
        <v>680</v>
      </c>
      <c r="Z522" t="b">
        <v>0</v>
      </c>
      <c r="AA522" t="s">
        <v>565</v>
      </c>
      <c r="AB522" t="s">
        <v>36</v>
      </c>
      <c r="AC522" t="s">
        <v>187</v>
      </c>
    </row>
    <row r="523" spans="2:29" x14ac:dyDescent="0.35">
      <c r="B523" t="s">
        <v>709</v>
      </c>
      <c r="C523">
        <v>968.1</v>
      </c>
      <c r="D523" t="s">
        <v>29</v>
      </c>
      <c r="E523" s="10">
        <v>8994.3871762500003</v>
      </c>
      <c r="F523" t="s">
        <v>30</v>
      </c>
      <c r="G523" s="14">
        <v>46082</v>
      </c>
      <c r="H523">
        <v>11182</v>
      </c>
      <c r="I523">
        <v>10825294.200000001</v>
      </c>
      <c r="J523">
        <v>13285.790375</v>
      </c>
      <c r="K523" t="s">
        <v>706</v>
      </c>
      <c r="L523" s="9" t="s">
        <v>707</v>
      </c>
      <c r="M523" t="s">
        <v>56</v>
      </c>
      <c r="N523" s="12">
        <v>8078.3427997227045</v>
      </c>
      <c r="O523" s="13">
        <v>0.89815377539604435</v>
      </c>
      <c r="P523" s="9" t="s">
        <v>709</v>
      </c>
      <c r="Q523">
        <v>588.34</v>
      </c>
      <c r="R523">
        <v>588.34</v>
      </c>
      <c r="S523" t="s">
        <v>39</v>
      </c>
      <c r="T523">
        <v>916.04437652729609</v>
      </c>
      <c r="U523">
        <v>6118147.6600000001</v>
      </c>
      <c r="V523">
        <v>9525945.4715073518</v>
      </c>
      <c r="W523" t="s">
        <v>30</v>
      </c>
      <c r="X523" t="s">
        <v>710</v>
      </c>
      <c r="Y523" t="s">
        <v>546</v>
      </c>
      <c r="Z523" t="b">
        <v>0</v>
      </c>
      <c r="AA523" t="s">
        <v>565</v>
      </c>
      <c r="AB523" t="s">
        <v>36</v>
      </c>
      <c r="AC523" t="s">
        <v>273</v>
      </c>
    </row>
    <row r="524" spans="2:29" x14ac:dyDescent="0.35">
      <c r="B524" t="s">
        <v>711</v>
      </c>
      <c r="C524">
        <v>816.45</v>
      </c>
      <c r="D524" t="s">
        <v>712</v>
      </c>
      <c r="E524" s="10">
        <v>54.479475509250001</v>
      </c>
      <c r="F524" t="s">
        <v>30</v>
      </c>
      <c r="G524" s="14">
        <v>46082</v>
      </c>
      <c r="H524">
        <v>11342</v>
      </c>
      <c r="I524">
        <v>9260175.9000000004</v>
      </c>
      <c r="J524">
        <v>73349.3209502315</v>
      </c>
      <c r="K524" t="s">
        <v>713</v>
      </c>
      <c r="L524" s="9" t="s">
        <v>714</v>
      </c>
      <c r="M524" t="s">
        <v>56</v>
      </c>
      <c r="N524" s="12">
        <v>881.69688896463799</v>
      </c>
      <c r="O524" s="13">
        <v>16.184019407729721</v>
      </c>
      <c r="P524" s="9" t="s">
        <v>711</v>
      </c>
      <c r="Q524">
        <v>601.27</v>
      </c>
      <c r="R524">
        <v>601.27</v>
      </c>
      <c r="S524" t="s">
        <v>39</v>
      </c>
      <c r="T524">
        <v>936.17636447388804</v>
      </c>
      <c r="U524">
        <v>4397087.51</v>
      </c>
      <c r="V524">
        <v>6846257.753397543</v>
      </c>
      <c r="W524" t="s">
        <v>30</v>
      </c>
      <c r="X524" t="s">
        <v>715</v>
      </c>
      <c r="Y524" t="s">
        <v>716</v>
      </c>
      <c r="Z524" t="b">
        <v>0</v>
      </c>
      <c r="AA524" t="s">
        <v>565</v>
      </c>
      <c r="AB524" t="s">
        <v>36</v>
      </c>
      <c r="AC524" t="s">
        <v>388</v>
      </c>
    </row>
    <row r="525" spans="2:29" x14ac:dyDescent="0.35">
      <c r="B525" t="s">
        <v>711</v>
      </c>
      <c r="C525">
        <v>618.23</v>
      </c>
      <c r="D525" t="s">
        <v>712</v>
      </c>
      <c r="E525" s="10">
        <v>41.25279704095</v>
      </c>
      <c r="F525" t="s">
        <v>30</v>
      </c>
      <c r="G525" s="14">
        <v>46082</v>
      </c>
      <c r="H525">
        <v>3186</v>
      </c>
      <c r="I525">
        <v>1969680.78</v>
      </c>
      <c r="J525">
        <v>3492.8248071538801</v>
      </c>
      <c r="K525" t="s">
        <v>713</v>
      </c>
      <c r="L525" s="9" t="s">
        <v>714</v>
      </c>
      <c r="M525" t="s">
        <v>56</v>
      </c>
      <c r="N525" s="12">
        <v>1454.78901413329</v>
      </c>
      <c r="O525" s="13">
        <v>35.26522123310037</v>
      </c>
      <c r="P525" s="9" t="s">
        <v>711</v>
      </c>
      <c r="Q525">
        <v>960.85</v>
      </c>
      <c r="R525">
        <v>960.85</v>
      </c>
      <c r="S525" t="s">
        <v>39</v>
      </c>
      <c r="T525">
        <v>1496.0418111742401</v>
      </c>
      <c r="U525">
        <v>567862.35</v>
      </c>
      <c r="V525">
        <v>884160.71040397591</v>
      </c>
      <c r="W525" t="s">
        <v>30</v>
      </c>
      <c r="X525" t="s">
        <v>715</v>
      </c>
      <c r="Y525" t="s">
        <v>716</v>
      </c>
      <c r="Z525" t="b">
        <v>0</v>
      </c>
      <c r="AA525" t="s">
        <v>565</v>
      </c>
      <c r="AB525" t="s">
        <v>36</v>
      </c>
      <c r="AC525" t="s">
        <v>388</v>
      </c>
    </row>
    <row r="526" spans="2:29" x14ac:dyDescent="0.35">
      <c r="B526" t="s">
        <v>717</v>
      </c>
      <c r="C526">
        <v>901.56</v>
      </c>
      <c r="D526" t="s">
        <v>712</v>
      </c>
      <c r="E526" s="10">
        <v>60.158633033399994</v>
      </c>
      <c r="F526" t="s">
        <v>30</v>
      </c>
      <c r="G526" s="14">
        <v>46082</v>
      </c>
      <c r="H526">
        <v>678</v>
      </c>
      <c r="I526">
        <v>611257.67999999993</v>
      </c>
      <c r="J526">
        <v>6005.4538499999999</v>
      </c>
      <c r="K526" t="s">
        <v>713</v>
      </c>
      <c r="L526" s="9" t="s">
        <v>714</v>
      </c>
      <c r="M526" t="s">
        <v>56</v>
      </c>
      <c r="N526" s="12">
        <v>1280.7905780356559</v>
      </c>
      <c r="O526" s="13">
        <v>21.290220762239773</v>
      </c>
      <c r="P526" s="9" t="s">
        <v>717</v>
      </c>
      <c r="Q526">
        <v>861.24</v>
      </c>
      <c r="R526">
        <v>861.24</v>
      </c>
      <c r="S526" t="s">
        <v>39</v>
      </c>
      <c r="T526">
        <v>1340.949211069056</v>
      </c>
      <c r="U526">
        <v>4558543.32</v>
      </c>
      <c r="V526">
        <v>7097644.1741885133</v>
      </c>
      <c r="W526" t="s">
        <v>30</v>
      </c>
      <c r="X526" t="s">
        <v>715</v>
      </c>
      <c r="Y526" t="s">
        <v>718</v>
      </c>
      <c r="Z526" t="b">
        <v>0</v>
      </c>
      <c r="AB526" t="s">
        <v>36</v>
      </c>
      <c r="AC526" t="s">
        <v>251</v>
      </c>
    </row>
    <row r="527" spans="2:29" x14ac:dyDescent="0.35">
      <c r="B527" t="s">
        <v>719</v>
      </c>
      <c r="C527">
        <v>798.22</v>
      </c>
      <c r="D527" t="s">
        <v>712</v>
      </c>
      <c r="E527" s="10">
        <v>53.263037468299999</v>
      </c>
      <c r="F527" t="s">
        <v>30</v>
      </c>
      <c r="G527" s="14">
        <v>46082</v>
      </c>
      <c r="H527">
        <v>11877</v>
      </c>
      <c r="I527">
        <v>9480458.9399999995</v>
      </c>
      <c r="J527">
        <v>5604.9301145640002</v>
      </c>
      <c r="K527" t="s">
        <v>713</v>
      </c>
      <c r="L527" s="9" t="s">
        <v>714</v>
      </c>
      <c r="M527" t="s">
        <v>56</v>
      </c>
      <c r="N527" s="12">
        <v>1453.413072056692</v>
      </c>
      <c r="O527" s="13">
        <v>27.28746127033601</v>
      </c>
      <c r="P527" s="9" t="s">
        <v>719</v>
      </c>
      <c r="Q527">
        <v>967.68</v>
      </c>
      <c r="R527">
        <v>967.68</v>
      </c>
      <c r="S527" t="s">
        <v>39</v>
      </c>
      <c r="T527">
        <v>1506.6761095249919</v>
      </c>
      <c r="U527">
        <v>15476106.239999998</v>
      </c>
      <c r="V527">
        <v>24096271.019633196</v>
      </c>
      <c r="W527" t="s">
        <v>30</v>
      </c>
      <c r="X527" t="s">
        <v>715</v>
      </c>
      <c r="Y527" t="s">
        <v>720</v>
      </c>
      <c r="Z527" t="b">
        <v>0</v>
      </c>
      <c r="AA527" t="s">
        <v>565</v>
      </c>
      <c r="AB527" t="s">
        <v>36</v>
      </c>
      <c r="AC527" t="s">
        <v>251</v>
      </c>
    </row>
    <row r="528" spans="2:29" x14ac:dyDescent="0.35">
      <c r="B528" t="s">
        <v>721</v>
      </c>
      <c r="C528">
        <v>36.67</v>
      </c>
      <c r="D528" t="s">
        <v>712</v>
      </c>
      <c r="E528" s="10">
        <v>2.4468888075499997</v>
      </c>
      <c r="F528" t="s">
        <v>30</v>
      </c>
      <c r="G528" s="14">
        <v>46082</v>
      </c>
      <c r="H528">
        <v>15632</v>
      </c>
      <c r="I528">
        <v>573225.44000000006</v>
      </c>
      <c r="J528">
        <v>43383.701287274002</v>
      </c>
      <c r="K528" t="s">
        <v>713</v>
      </c>
      <c r="L528" s="9" t="s">
        <v>714</v>
      </c>
      <c r="M528" t="s">
        <v>56</v>
      </c>
      <c r="N528" s="12">
        <v>1204.7873087384339</v>
      </c>
      <c r="O528" s="13">
        <v>492.3751766001796</v>
      </c>
      <c r="P528" s="9" t="s">
        <v>721</v>
      </c>
      <c r="Q528">
        <v>775.36</v>
      </c>
      <c r="R528">
        <v>775.36</v>
      </c>
      <c r="S528" t="s">
        <v>39</v>
      </c>
      <c r="T528">
        <v>1207.234197545984</v>
      </c>
      <c r="U528">
        <v>9175610.2400000002</v>
      </c>
      <c r="V528">
        <v>14286409.493759174</v>
      </c>
      <c r="W528" t="s">
        <v>30</v>
      </c>
      <c r="X528" t="s">
        <v>715</v>
      </c>
      <c r="Y528" t="s">
        <v>722</v>
      </c>
      <c r="Z528" t="b">
        <v>0</v>
      </c>
      <c r="AA528" t="s">
        <v>565</v>
      </c>
      <c r="AB528" t="s">
        <v>36</v>
      </c>
      <c r="AC528" t="s">
        <v>158</v>
      </c>
    </row>
    <row r="529" spans="2:29" x14ac:dyDescent="0.35">
      <c r="B529" t="s">
        <v>721</v>
      </c>
      <c r="C529">
        <v>284.49</v>
      </c>
      <c r="D529" t="s">
        <v>712</v>
      </c>
      <c r="E529" s="10">
        <v>18.98323961985</v>
      </c>
      <c r="F529" t="s">
        <v>30</v>
      </c>
      <c r="G529" s="14">
        <v>46082</v>
      </c>
      <c r="H529">
        <v>3185</v>
      </c>
      <c r="I529">
        <v>906100.65</v>
      </c>
      <c r="J529">
        <v>4131.6945964430397</v>
      </c>
      <c r="K529" t="s">
        <v>713</v>
      </c>
      <c r="L529" s="9" t="s">
        <v>714</v>
      </c>
      <c r="M529" t="s">
        <v>56</v>
      </c>
      <c r="N529" s="12">
        <v>1013.913858902166</v>
      </c>
      <c r="O529" s="13">
        <v>53.411002505702854</v>
      </c>
      <c r="P529" s="9" t="s">
        <v>721</v>
      </c>
      <c r="Q529">
        <v>663.39</v>
      </c>
      <c r="R529">
        <v>663.39</v>
      </c>
      <c r="S529" t="s">
        <v>39</v>
      </c>
      <c r="T529">
        <v>1032.897098522016</v>
      </c>
      <c r="U529">
        <v>5022525.6899999995</v>
      </c>
      <c r="V529">
        <v>7820063.9329101834</v>
      </c>
      <c r="W529" t="s">
        <v>30</v>
      </c>
      <c r="X529" t="s">
        <v>715</v>
      </c>
      <c r="Y529" t="s">
        <v>722</v>
      </c>
      <c r="Z529" t="b">
        <v>0</v>
      </c>
      <c r="AA529" t="s">
        <v>565</v>
      </c>
      <c r="AB529" t="s">
        <v>36</v>
      </c>
      <c r="AC529" t="s">
        <v>158</v>
      </c>
    </row>
    <row r="530" spans="2:29" x14ac:dyDescent="0.35">
      <c r="B530" t="s">
        <v>723</v>
      </c>
      <c r="C530">
        <v>597.19000000000005</v>
      </c>
      <c r="D530" t="s">
        <v>712</v>
      </c>
      <c r="E530" s="10">
        <v>39.848855385349999</v>
      </c>
      <c r="F530" t="s">
        <v>30</v>
      </c>
      <c r="G530" s="14">
        <v>46082</v>
      </c>
      <c r="H530">
        <v>8353</v>
      </c>
      <c r="I530">
        <v>4988328.07</v>
      </c>
      <c r="J530">
        <v>73987.103352010206</v>
      </c>
      <c r="K530" t="s">
        <v>713</v>
      </c>
      <c r="L530" s="9" t="s">
        <v>714</v>
      </c>
      <c r="M530" t="s">
        <v>56</v>
      </c>
      <c r="N530" s="12">
        <v>1097.4605487591302</v>
      </c>
      <c r="O530" s="13">
        <v>27.540578973884397</v>
      </c>
      <c r="P530" s="9" t="s">
        <v>723</v>
      </c>
      <c r="Q530">
        <v>730.45</v>
      </c>
      <c r="R530">
        <v>730.45</v>
      </c>
      <c r="S530" t="s">
        <v>39</v>
      </c>
      <c r="T530">
        <v>1137.3094041444801</v>
      </c>
      <c r="U530">
        <v>5480566.3500000006</v>
      </c>
      <c r="V530">
        <v>8533232.4592960346</v>
      </c>
      <c r="W530" t="s">
        <v>30</v>
      </c>
      <c r="X530" t="s">
        <v>715</v>
      </c>
      <c r="Y530" t="s">
        <v>724</v>
      </c>
      <c r="Z530" t="b">
        <v>0</v>
      </c>
      <c r="AB530" t="s">
        <v>36</v>
      </c>
      <c r="AC530" t="s">
        <v>562</v>
      </c>
    </row>
    <row r="531" spans="2:29" x14ac:dyDescent="0.35">
      <c r="B531" t="s">
        <v>725</v>
      </c>
      <c r="C531">
        <v>584.29</v>
      </c>
      <c r="D531" t="s">
        <v>712</v>
      </c>
      <c r="E531" s="10">
        <v>38.988073666849992</v>
      </c>
      <c r="F531" t="s">
        <v>30</v>
      </c>
      <c r="G531" s="14">
        <v>46082</v>
      </c>
      <c r="H531">
        <v>18991</v>
      </c>
      <c r="I531">
        <v>11096251.389999999</v>
      </c>
      <c r="J531">
        <v>13692.434778000001</v>
      </c>
      <c r="K531" t="s">
        <v>713</v>
      </c>
      <c r="L531" s="9" t="s">
        <v>714</v>
      </c>
      <c r="M531" t="s">
        <v>56</v>
      </c>
      <c r="N531" s="12">
        <v>467.64360134796601</v>
      </c>
      <c r="O531" s="13">
        <v>11.994529541108998</v>
      </c>
      <c r="P531" s="9" t="s">
        <v>725</v>
      </c>
      <c r="Q531">
        <v>325.39</v>
      </c>
      <c r="R531">
        <v>325.39</v>
      </c>
      <c r="S531" t="s">
        <v>39</v>
      </c>
      <c r="T531">
        <v>506.63167501481598</v>
      </c>
      <c r="U531">
        <v>3403579.4</v>
      </c>
      <c r="V531">
        <v>5299367.3206549753</v>
      </c>
      <c r="W531" t="s">
        <v>30</v>
      </c>
      <c r="X531" t="s">
        <v>715</v>
      </c>
      <c r="Y531" t="s">
        <v>726</v>
      </c>
      <c r="Z531" t="b">
        <v>0</v>
      </c>
      <c r="AB531" t="s">
        <v>36</v>
      </c>
      <c r="AC531" t="s">
        <v>187</v>
      </c>
    </row>
    <row r="532" spans="2:29" x14ac:dyDescent="0.35">
      <c r="B532" t="s">
        <v>727</v>
      </c>
      <c r="C532">
        <v>369.99</v>
      </c>
      <c r="D532" t="s">
        <v>712</v>
      </c>
      <c r="E532" s="10">
        <v>24.688420777349997</v>
      </c>
      <c r="F532" t="s">
        <v>30</v>
      </c>
      <c r="G532" s="14">
        <v>46082</v>
      </c>
      <c r="H532">
        <v>3787</v>
      </c>
      <c r="I532">
        <v>1401152.1300000001</v>
      </c>
      <c r="J532">
        <v>89729.695979866796</v>
      </c>
      <c r="K532" t="s">
        <v>713</v>
      </c>
      <c r="L532" s="9" t="s">
        <v>714</v>
      </c>
      <c r="M532" t="s">
        <v>56</v>
      </c>
      <c r="N532" s="12">
        <v>690.59659567001006</v>
      </c>
      <c r="O532" s="13">
        <v>27.972489690534886</v>
      </c>
      <c r="P532" s="9" t="s">
        <v>727</v>
      </c>
      <c r="Q532">
        <v>459.4</v>
      </c>
      <c r="R532">
        <v>459.4</v>
      </c>
      <c r="S532" t="s">
        <v>39</v>
      </c>
      <c r="T532">
        <v>715.28501644736002</v>
      </c>
      <c r="U532">
        <v>7073841.1999999993</v>
      </c>
      <c r="V532">
        <v>11013958.683256449</v>
      </c>
      <c r="W532" t="s">
        <v>30</v>
      </c>
      <c r="X532" t="s">
        <v>715</v>
      </c>
      <c r="Y532" t="s">
        <v>728</v>
      </c>
      <c r="Z532" t="b">
        <v>0</v>
      </c>
      <c r="AA532" t="s">
        <v>565</v>
      </c>
      <c r="AB532" t="s">
        <v>36</v>
      </c>
      <c r="AC532" t="s">
        <v>158</v>
      </c>
    </row>
    <row r="533" spans="2:29" x14ac:dyDescent="0.35">
      <c r="B533" t="s">
        <v>727</v>
      </c>
      <c r="C533">
        <v>821.2</v>
      </c>
      <c r="D533" t="s">
        <v>712</v>
      </c>
      <c r="E533" s="10">
        <v>54.796430017999995</v>
      </c>
      <c r="F533" t="s">
        <v>30</v>
      </c>
      <c r="G533" s="14">
        <v>46082</v>
      </c>
      <c r="H533">
        <v>1864</v>
      </c>
      <c r="I533">
        <v>1530716.8</v>
      </c>
      <c r="J533">
        <v>42372.336016394001</v>
      </c>
      <c r="K533" t="s">
        <v>713</v>
      </c>
      <c r="L533" s="9" t="s">
        <v>714</v>
      </c>
      <c r="M533" t="s">
        <v>56</v>
      </c>
      <c r="N533" s="12">
        <v>37.735978618192007</v>
      </c>
      <c r="O533" s="13">
        <v>0.68865761155966132</v>
      </c>
      <c r="P533" s="9" t="s">
        <v>727</v>
      </c>
      <c r="Q533">
        <v>59.43</v>
      </c>
      <c r="R533">
        <v>59.43</v>
      </c>
      <c r="S533" t="s">
        <v>39</v>
      </c>
      <c r="T533">
        <v>92.532408636192002</v>
      </c>
      <c r="U533">
        <v>327518.73</v>
      </c>
      <c r="V533">
        <v>509946.10399405414</v>
      </c>
      <c r="W533" t="s">
        <v>30</v>
      </c>
      <c r="X533" t="s">
        <v>715</v>
      </c>
      <c r="Y533" t="s">
        <v>728</v>
      </c>
      <c r="Z533" t="b">
        <v>0</v>
      </c>
      <c r="AA533" t="s">
        <v>565</v>
      </c>
      <c r="AB533" t="s">
        <v>36</v>
      </c>
      <c r="AC533" t="s">
        <v>158</v>
      </c>
    </row>
    <row r="534" spans="2:29" x14ac:dyDescent="0.35">
      <c r="B534" t="s">
        <v>729</v>
      </c>
      <c r="C534">
        <v>350.6</v>
      </c>
      <c r="D534" t="s">
        <v>712</v>
      </c>
      <c r="E534" s="10">
        <v>23.394579108999999</v>
      </c>
      <c r="F534" t="s">
        <v>30</v>
      </c>
      <c r="G534" s="14">
        <v>46082</v>
      </c>
      <c r="H534">
        <v>14659</v>
      </c>
      <c r="I534">
        <v>5139445.4000000004</v>
      </c>
      <c r="J534">
        <v>160539.58461253799</v>
      </c>
      <c r="K534" t="s">
        <v>713</v>
      </c>
      <c r="L534" s="9" t="s">
        <v>714</v>
      </c>
      <c r="M534" t="s">
        <v>56</v>
      </c>
      <c r="N534" s="12">
        <v>1076.15761639628</v>
      </c>
      <c r="O534" s="13">
        <v>46.000298247822606</v>
      </c>
      <c r="P534" s="9" t="s">
        <v>729</v>
      </c>
      <c r="Q534">
        <v>706.2</v>
      </c>
      <c r="R534">
        <v>706.2</v>
      </c>
      <c r="S534" t="s">
        <v>39</v>
      </c>
      <c r="T534">
        <v>1099.55219550528</v>
      </c>
      <c r="U534">
        <v>11457388.800000001</v>
      </c>
      <c r="V534">
        <v>17839134.819877662</v>
      </c>
      <c r="W534" t="s">
        <v>30</v>
      </c>
      <c r="X534" t="s">
        <v>715</v>
      </c>
      <c r="Y534" t="s">
        <v>730</v>
      </c>
      <c r="Z534" t="b">
        <v>0</v>
      </c>
      <c r="AB534" t="s">
        <v>36</v>
      </c>
      <c r="AC534" t="s">
        <v>562</v>
      </c>
    </row>
    <row r="535" spans="2:29" x14ac:dyDescent="0.35">
      <c r="B535" t="s">
        <v>729</v>
      </c>
      <c r="C535">
        <v>633.11</v>
      </c>
      <c r="D535" t="s">
        <v>712</v>
      </c>
      <c r="E535" s="10">
        <v>42.245698744149998</v>
      </c>
      <c r="F535" t="s">
        <v>30</v>
      </c>
      <c r="G535" s="14">
        <v>46082</v>
      </c>
      <c r="H535">
        <v>1255</v>
      </c>
      <c r="I535">
        <v>794553.05</v>
      </c>
      <c r="J535">
        <v>245722.75299891</v>
      </c>
      <c r="K535" t="s">
        <v>713</v>
      </c>
      <c r="L535" s="9" t="s">
        <v>714</v>
      </c>
      <c r="M535" t="s">
        <v>56</v>
      </c>
      <c r="N535" s="12">
        <v>49.072251222409996</v>
      </c>
      <c r="O535" s="13">
        <v>1.1615916574040643</v>
      </c>
      <c r="P535" s="9" t="s">
        <v>729</v>
      </c>
      <c r="Q535">
        <v>58.65</v>
      </c>
      <c r="R535">
        <v>58.65</v>
      </c>
      <c r="S535" t="s">
        <v>39</v>
      </c>
      <c r="T535">
        <v>91.317949966559993</v>
      </c>
      <c r="U535">
        <v>1138103.25</v>
      </c>
      <c r="V535">
        <v>1772024.8191010966</v>
      </c>
      <c r="W535" t="s">
        <v>30</v>
      </c>
      <c r="X535" t="s">
        <v>715</v>
      </c>
      <c r="Y535" t="s">
        <v>730</v>
      </c>
      <c r="Z535" t="b">
        <v>0</v>
      </c>
      <c r="AB535" t="s">
        <v>36</v>
      </c>
      <c r="AC535" t="s">
        <v>562</v>
      </c>
    </row>
    <row r="536" spans="2:29" x14ac:dyDescent="0.35">
      <c r="B536" t="s">
        <v>729</v>
      </c>
      <c r="C536">
        <v>905.05</v>
      </c>
      <c r="D536" t="s">
        <v>712</v>
      </c>
      <c r="E536" s="10">
        <v>60.391511188249993</v>
      </c>
      <c r="F536" t="s">
        <v>30</v>
      </c>
      <c r="G536" s="14">
        <v>46082</v>
      </c>
      <c r="H536">
        <v>11290</v>
      </c>
      <c r="I536">
        <v>10218014.5</v>
      </c>
      <c r="J536">
        <v>29486.730359869201</v>
      </c>
      <c r="K536" t="s">
        <v>713</v>
      </c>
      <c r="L536" s="9" t="s">
        <v>714</v>
      </c>
      <c r="M536" t="s">
        <v>56</v>
      </c>
      <c r="N536" s="12">
        <v>1353.7521897005502</v>
      </c>
      <c r="O536" s="13">
        <v>22.416266178216475</v>
      </c>
      <c r="P536" s="9" t="s">
        <v>729</v>
      </c>
      <c r="Q536">
        <v>908.25</v>
      </c>
      <c r="R536">
        <v>908.25</v>
      </c>
      <c r="S536" t="s">
        <v>39</v>
      </c>
      <c r="T536">
        <v>1414.1437008888001</v>
      </c>
      <c r="U536">
        <v>3860970.75</v>
      </c>
      <c r="V536">
        <v>6011524.8724782895</v>
      </c>
      <c r="W536" t="s">
        <v>30</v>
      </c>
      <c r="X536" t="s">
        <v>715</v>
      </c>
      <c r="Y536" t="s">
        <v>730</v>
      </c>
      <c r="Z536" t="b">
        <v>0</v>
      </c>
      <c r="AB536" t="s">
        <v>36</v>
      </c>
      <c r="AC536" t="s">
        <v>562</v>
      </c>
    </row>
    <row r="537" spans="2:29" x14ac:dyDescent="0.35">
      <c r="B537" t="s">
        <v>731</v>
      </c>
      <c r="C537">
        <v>879.75</v>
      </c>
      <c r="D537" t="s">
        <v>712</v>
      </c>
      <c r="E537" s="10">
        <v>58.703311383749991</v>
      </c>
      <c r="F537" t="s">
        <v>30</v>
      </c>
      <c r="G537" s="14">
        <v>46082</v>
      </c>
      <c r="H537">
        <v>12299</v>
      </c>
      <c r="I537">
        <v>10820045.25</v>
      </c>
      <c r="J537">
        <v>50861.762084558701</v>
      </c>
      <c r="K537" t="s">
        <v>713</v>
      </c>
      <c r="L537" s="9" t="s">
        <v>714</v>
      </c>
      <c r="M537" t="s">
        <v>56</v>
      </c>
      <c r="N537" s="12">
        <v>1154.0582301073541</v>
      </c>
      <c r="O537" s="13">
        <v>19.659167479721013</v>
      </c>
      <c r="P537" s="9" t="s">
        <v>731</v>
      </c>
      <c r="Q537">
        <v>778.91</v>
      </c>
      <c r="R537">
        <v>778.91</v>
      </c>
      <c r="S537" t="s">
        <v>39</v>
      </c>
      <c r="T537">
        <v>1212.761541491104</v>
      </c>
      <c r="U537">
        <v>3296347.1199999996</v>
      </c>
      <c r="V537">
        <v>5132406.8435903527</v>
      </c>
      <c r="W537" t="s">
        <v>30</v>
      </c>
      <c r="X537" t="s">
        <v>715</v>
      </c>
      <c r="Y537" t="s">
        <v>732</v>
      </c>
      <c r="Z537" t="b">
        <v>0</v>
      </c>
      <c r="AB537" t="s">
        <v>36</v>
      </c>
      <c r="AC537" t="s">
        <v>187</v>
      </c>
    </row>
    <row r="538" spans="2:29" x14ac:dyDescent="0.35">
      <c r="B538" t="s">
        <v>733</v>
      </c>
      <c r="C538">
        <v>116.76</v>
      </c>
      <c r="D538" t="s">
        <v>712</v>
      </c>
      <c r="E538" s="10">
        <v>7.7910754613999993</v>
      </c>
      <c r="F538" t="s">
        <v>30</v>
      </c>
      <c r="G538" s="14">
        <v>46082</v>
      </c>
      <c r="H538">
        <v>16759</v>
      </c>
      <c r="I538">
        <v>1956780.84</v>
      </c>
      <c r="J538">
        <v>49698.571600351497</v>
      </c>
      <c r="K538" t="s">
        <v>713</v>
      </c>
      <c r="L538" s="9" t="s">
        <v>714</v>
      </c>
      <c r="M538" t="s">
        <v>56</v>
      </c>
      <c r="N538" s="12">
        <v>94.674982293064005</v>
      </c>
      <c r="O538" s="13">
        <v>12.151721897974225</v>
      </c>
      <c r="P538" s="9" t="s">
        <v>733</v>
      </c>
      <c r="Q538">
        <v>65.81</v>
      </c>
      <c r="R538">
        <v>65.81</v>
      </c>
      <c r="S538" t="s">
        <v>39</v>
      </c>
      <c r="T538">
        <v>102.466057754464</v>
      </c>
      <c r="U538">
        <v>605452</v>
      </c>
      <c r="V538">
        <v>942687.73134106887</v>
      </c>
      <c r="W538" t="s">
        <v>30</v>
      </c>
      <c r="X538" t="s">
        <v>715</v>
      </c>
      <c r="Y538" t="s">
        <v>734</v>
      </c>
      <c r="Z538" t="b">
        <v>0</v>
      </c>
      <c r="AA538" t="s">
        <v>565</v>
      </c>
      <c r="AB538" t="s">
        <v>36</v>
      </c>
      <c r="AC538" t="s">
        <v>635</v>
      </c>
    </row>
    <row r="539" spans="2:29" x14ac:dyDescent="0.35">
      <c r="B539" t="s">
        <v>733</v>
      </c>
      <c r="C539">
        <v>745.11</v>
      </c>
      <c r="D539" t="s">
        <v>712</v>
      </c>
      <c r="E539" s="10">
        <v>49.719152424149996</v>
      </c>
      <c r="F539" t="s">
        <v>30</v>
      </c>
      <c r="G539" s="14">
        <v>46082</v>
      </c>
      <c r="H539">
        <v>17268</v>
      </c>
      <c r="I539">
        <v>12866559.48</v>
      </c>
      <c r="J539">
        <v>39048.795478</v>
      </c>
      <c r="K539" t="s">
        <v>713</v>
      </c>
      <c r="L539" s="9" t="s">
        <v>714</v>
      </c>
      <c r="M539" t="s">
        <v>56</v>
      </c>
      <c r="N539" s="12">
        <v>1392.99546716689</v>
      </c>
      <c r="O539" s="13">
        <v>28.017281052648691</v>
      </c>
      <c r="P539" s="9" t="s">
        <v>733</v>
      </c>
      <c r="Q539">
        <v>926.6</v>
      </c>
      <c r="R539">
        <v>926.6</v>
      </c>
      <c r="S539" t="s">
        <v>39</v>
      </c>
      <c r="T539">
        <v>1442.71461959104</v>
      </c>
      <c r="U539">
        <v>10660533</v>
      </c>
      <c r="V539">
        <v>16598431.698394915</v>
      </c>
      <c r="W539" t="s">
        <v>30</v>
      </c>
      <c r="X539" t="s">
        <v>715</v>
      </c>
      <c r="Y539" t="s">
        <v>734</v>
      </c>
      <c r="Z539" t="b">
        <v>0</v>
      </c>
      <c r="AA539" t="s">
        <v>565</v>
      </c>
      <c r="AB539" t="s">
        <v>36</v>
      </c>
      <c r="AC539" t="s">
        <v>635</v>
      </c>
    </row>
    <row r="540" spans="2:29" x14ac:dyDescent="0.35">
      <c r="B540" t="s">
        <v>733</v>
      </c>
      <c r="C540">
        <v>211.89</v>
      </c>
      <c r="D540" t="s">
        <v>712</v>
      </c>
      <c r="E540" s="10">
        <v>14.138840180849998</v>
      </c>
      <c r="F540" t="s">
        <v>30</v>
      </c>
      <c r="G540" s="14">
        <v>46082</v>
      </c>
      <c r="H540">
        <v>19184</v>
      </c>
      <c r="I540">
        <v>4064897.76</v>
      </c>
      <c r="J540">
        <v>24849.233486000001</v>
      </c>
      <c r="K540" t="s">
        <v>713</v>
      </c>
      <c r="L540" s="9" t="s">
        <v>714</v>
      </c>
      <c r="M540" t="s">
        <v>56</v>
      </c>
      <c r="N540" s="12">
        <v>119.747443154606</v>
      </c>
      <c r="O540" s="13">
        <v>8.4693964726183815</v>
      </c>
      <c r="P540" s="9" t="s">
        <v>733</v>
      </c>
      <c r="Q540">
        <v>85.99</v>
      </c>
      <c r="R540">
        <v>85.99</v>
      </c>
      <c r="S540" t="s">
        <v>39</v>
      </c>
      <c r="T540">
        <v>133.886283335456</v>
      </c>
      <c r="U540">
        <v>750692.7</v>
      </c>
      <c r="V540">
        <v>1168827.2535185309</v>
      </c>
      <c r="W540" t="s">
        <v>30</v>
      </c>
      <c r="X540" t="s">
        <v>715</v>
      </c>
      <c r="Y540" t="s">
        <v>734</v>
      </c>
      <c r="Z540" t="b">
        <v>0</v>
      </c>
      <c r="AA540" t="s">
        <v>565</v>
      </c>
      <c r="AB540" t="s">
        <v>36</v>
      </c>
      <c r="AC540" t="s">
        <v>635</v>
      </c>
    </row>
    <row r="541" spans="2:29" x14ac:dyDescent="0.35">
      <c r="B541" t="s">
        <v>733</v>
      </c>
      <c r="C541">
        <v>844</v>
      </c>
      <c r="D541" t="s">
        <v>712</v>
      </c>
      <c r="E541" s="10">
        <v>56.317811659999997</v>
      </c>
      <c r="F541" t="s">
        <v>30</v>
      </c>
      <c r="G541" s="14">
        <v>46082</v>
      </c>
      <c r="H541">
        <v>14410</v>
      </c>
      <c r="I541">
        <v>12162040</v>
      </c>
      <c r="J541">
        <v>63898.028963999997</v>
      </c>
      <c r="K541" t="s">
        <v>713</v>
      </c>
      <c r="L541" s="9" t="s">
        <v>714</v>
      </c>
      <c r="M541" t="s">
        <v>56</v>
      </c>
      <c r="N541" s="12">
        <v>279.028480987872</v>
      </c>
      <c r="O541" s="13">
        <v>4.9545334373503964</v>
      </c>
      <c r="P541" s="9" t="s">
        <v>733</v>
      </c>
      <c r="Q541">
        <v>215.38</v>
      </c>
      <c r="R541">
        <v>215.38</v>
      </c>
      <c r="S541" t="s">
        <v>39</v>
      </c>
      <c r="T541">
        <v>335.34629264787202</v>
      </c>
      <c r="U541">
        <v>4258493.3600000003</v>
      </c>
      <c r="V541">
        <v>6630466.8982337257</v>
      </c>
      <c r="W541" t="s">
        <v>30</v>
      </c>
      <c r="X541" t="s">
        <v>715</v>
      </c>
      <c r="Y541" t="s">
        <v>734</v>
      </c>
      <c r="Z541" t="b">
        <v>0</v>
      </c>
      <c r="AA541" t="s">
        <v>565</v>
      </c>
      <c r="AB541" t="s">
        <v>36</v>
      </c>
      <c r="AC541" t="s">
        <v>635</v>
      </c>
    </row>
    <row r="542" spans="2:29" x14ac:dyDescent="0.35">
      <c r="B542" t="s">
        <v>735</v>
      </c>
      <c r="C542">
        <v>896.27</v>
      </c>
      <c r="D542" t="s">
        <v>712</v>
      </c>
      <c r="E542" s="10">
        <v>59.805645801549993</v>
      </c>
      <c r="F542" t="s">
        <v>30</v>
      </c>
      <c r="G542" s="14">
        <v>46082</v>
      </c>
      <c r="H542">
        <v>13752</v>
      </c>
      <c r="I542">
        <v>12325505.039999999</v>
      </c>
      <c r="J542">
        <v>98055.059534739601</v>
      </c>
      <c r="K542" t="s">
        <v>713</v>
      </c>
      <c r="L542" s="9" t="s">
        <v>714</v>
      </c>
      <c r="M542" t="s">
        <v>56</v>
      </c>
      <c r="N542" s="12">
        <v>411.54444786216203</v>
      </c>
      <c r="O542" s="13">
        <v>6.8813644990603207</v>
      </c>
      <c r="P542" s="9" t="s">
        <v>735</v>
      </c>
      <c r="Q542">
        <v>302.73</v>
      </c>
      <c r="R542">
        <v>302.73</v>
      </c>
      <c r="S542" t="s">
        <v>39</v>
      </c>
      <c r="T542">
        <v>471.35009366371202</v>
      </c>
      <c r="U542">
        <v>1770062.31</v>
      </c>
      <c r="V542">
        <v>2755983.9976517241</v>
      </c>
      <c r="W542" t="s">
        <v>30</v>
      </c>
      <c r="X542" t="s">
        <v>715</v>
      </c>
      <c r="Y542" t="s">
        <v>734</v>
      </c>
      <c r="Z542" t="b">
        <v>0</v>
      </c>
      <c r="AA542" t="s">
        <v>565</v>
      </c>
      <c r="AB542" t="s">
        <v>36</v>
      </c>
      <c r="AC542" t="s">
        <v>635</v>
      </c>
    </row>
    <row r="543" spans="2:29" x14ac:dyDescent="0.35">
      <c r="B543" t="s">
        <v>736</v>
      </c>
      <c r="C543">
        <v>680.76</v>
      </c>
      <c r="D543" t="s">
        <v>575</v>
      </c>
      <c r="E543" s="10">
        <v>906.39517895999995</v>
      </c>
      <c r="G543" s="14">
        <v>46082</v>
      </c>
      <c r="H543">
        <v>14959</v>
      </c>
      <c r="I543">
        <v>10183488.84</v>
      </c>
      <c r="J543">
        <v>1829.7396655</v>
      </c>
      <c r="K543" t="s">
        <v>737</v>
      </c>
      <c r="L543" s="9" t="s">
        <v>738</v>
      </c>
      <c r="M543" t="s">
        <v>33</v>
      </c>
      <c r="N543" s="12">
        <v>575.78934739408021</v>
      </c>
      <c r="O543" s="13">
        <v>0.63525199687706013</v>
      </c>
      <c r="P543" s="9" t="s">
        <v>736</v>
      </c>
      <c r="Q543">
        <v>951.95</v>
      </c>
      <c r="R543">
        <v>951.95</v>
      </c>
      <c r="S543" t="s">
        <v>39</v>
      </c>
      <c r="T543">
        <v>1482.1845263540802</v>
      </c>
      <c r="U543">
        <v>16408762.15</v>
      </c>
      <c r="V543">
        <v>25548414.680765279</v>
      </c>
      <c r="X543">
        <v>0</v>
      </c>
      <c r="Y543" t="s">
        <v>739</v>
      </c>
      <c r="Z543" t="b">
        <v>0</v>
      </c>
      <c r="AB543" t="s">
        <v>36</v>
      </c>
      <c r="AC543" t="s">
        <v>306</v>
      </c>
    </row>
    <row r="544" spans="2:29" x14ac:dyDescent="0.35">
      <c r="B544" t="s">
        <v>740</v>
      </c>
      <c r="C544">
        <v>845.79</v>
      </c>
      <c r="D544" t="s">
        <v>575</v>
      </c>
      <c r="E544" s="10">
        <v>1126.1237123399999</v>
      </c>
      <c r="F544" t="s">
        <v>30</v>
      </c>
      <c r="G544" s="14">
        <v>46082</v>
      </c>
      <c r="H544">
        <v>1670</v>
      </c>
      <c r="I544">
        <v>1412469.3</v>
      </c>
      <c r="J544">
        <v>92218.879141199999</v>
      </c>
      <c r="K544" t="s">
        <v>737</v>
      </c>
      <c r="L544" s="9" t="s">
        <v>738</v>
      </c>
      <c r="M544" t="s">
        <v>33</v>
      </c>
      <c r="N544" s="12">
        <v>1002.6537475940798</v>
      </c>
      <c r="O544" s="13">
        <v>0.89035843629528166</v>
      </c>
      <c r="P544" s="9" t="s">
        <v>740</v>
      </c>
      <c r="Q544">
        <v>79.3</v>
      </c>
      <c r="R544">
        <v>79.3</v>
      </c>
      <c r="S544" t="s">
        <v>39</v>
      </c>
      <c r="T544">
        <v>123.46996474592</v>
      </c>
      <c r="U544">
        <v>759218.2</v>
      </c>
      <c r="V544">
        <v>1182101.4424774381</v>
      </c>
      <c r="W544" t="s">
        <v>30</v>
      </c>
      <c r="X544" t="s">
        <v>741</v>
      </c>
      <c r="Y544" t="s">
        <v>742</v>
      </c>
      <c r="Z544" t="b">
        <v>0</v>
      </c>
      <c r="AA544" t="s">
        <v>565</v>
      </c>
      <c r="AB544" t="s">
        <v>36</v>
      </c>
      <c r="AC544" t="s">
        <v>273</v>
      </c>
    </row>
    <row r="545" spans="2:29" x14ac:dyDescent="0.35">
      <c r="B545" t="s">
        <v>740</v>
      </c>
      <c r="C545">
        <v>277.82</v>
      </c>
      <c r="D545" t="s">
        <v>575</v>
      </c>
      <c r="E545" s="10">
        <v>369.90232771999996</v>
      </c>
      <c r="F545" t="s">
        <v>30</v>
      </c>
      <c r="G545" s="14">
        <v>46082</v>
      </c>
      <c r="H545">
        <v>7110</v>
      </c>
      <c r="I545">
        <v>1975300.2</v>
      </c>
      <c r="J545">
        <v>90389.139475699994</v>
      </c>
      <c r="K545" t="s">
        <v>737</v>
      </c>
      <c r="L545" s="9" t="s">
        <v>738</v>
      </c>
      <c r="M545" t="s">
        <v>33</v>
      </c>
      <c r="N545" s="12">
        <v>1070.6792042077122</v>
      </c>
      <c r="O545" s="13">
        <v>2.8944916643459733</v>
      </c>
      <c r="P545" s="9" t="s">
        <v>740</v>
      </c>
      <c r="Q545">
        <v>925.23</v>
      </c>
      <c r="R545">
        <v>925.23</v>
      </c>
      <c r="S545" t="s">
        <v>39</v>
      </c>
      <c r="T545">
        <v>1440.5815319277121</v>
      </c>
      <c r="U545">
        <v>4612271.55</v>
      </c>
      <c r="V545">
        <v>7181298.9366596453</v>
      </c>
      <c r="W545" t="s">
        <v>30</v>
      </c>
      <c r="X545" t="s">
        <v>741</v>
      </c>
      <c r="Y545" t="s">
        <v>742</v>
      </c>
      <c r="Z545" t="b">
        <v>0</v>
      </c>
      <c r="AA545" t="s">
        <v>565</v>
      </c>
      <c r="AB545" t="s">
        <v>36</v>
      </c>
      <c r="AC545" t="s">
        <v>273</v>
      </c>
    </row>
    <row r="546" spans="2:29" x14ac:dyDescent="0.35">
      <c r="B546" t="s">
        <v>740</v>
      </c>
      <c r="C546">
        <v>248.59</v>
      </c>
      <c r="D546" t="s">
        <v>575</v>
      </c>
      <c r="E546" s="10">
        <v>330.98416113999997</v>
      </c>
      <c r="F546" t="s">
        <v>30</v>
      </c>
      <c r="G546" s="14">
        <v>46082</v>
      </c>
      <c r="H546">
        <v>15911</v>
      </c>
      <c r="I546">
        <v>3955315.49</v>
      </c>
      <c r="J546">
        <v>92218.879141199999</v>
      </c>
      <c r="K546" t="s">
        <v>737</v>
      </c>
      <c r="L546" s="9" t="s">
        <v>738</v>
      </c>
      <c r="M546" t="s">
        <v>33</v>
      </c>
      <c r="N546" s="12">
        <v>322.42067052079994</v>
      </c>
      <c r="O546" s="13">
        <v>0.97412718907845919</v>
      </c>
      <c r="P546" s="9" t="s">
        <v>740</v>
      </c>
      <c r="Q546">
        <v>5.5</v>
      </c>
      <c r="R546">
        <v>5.5</v>
      </c>
      <c r="S546" t="s">
        <v>39</v>
      </c>
      <c r="T546">
        <v>8.5634906191999995</v>
      </c>
      <c r="U546">
        <v>21620.5</v>
      </c>
      <c r="V546">
        <v>33663.081624075196</v>
      </c>
      <c r="W546" t="s">
        <v>30</v>
      </c>
      <c r="X546" t="s">
        <v>741</v>
      </c>
      <c r="Y546" t="s">
        <v>742</v>
      </c>
      <c r="Z546" t="b">
        <v>0</v>
      </c>
      <c r="AA546" t="s">
        <v>565</v>
      </c>
      <c r="AB546" t="s">
        <v>36</v>
      </c>
      <c r="AC546" t="s">
        <v>273</v>
      </c>
    </row>
    <row r="547" spans="2:29" x14ac:dyDescent="0.35">
      <c r="B547" t="s">
        <v>743</v>
      </c>
      <c r="C547">
        <v>525.07000000000005</v>
      </c>
      <c r="D547" t="s">
        <v>575</v>
      </c>
      <c r="E547" s="10">
        <v>699.10235122000006</v>
      </c>
      <c r="F547" t="s">
        <v>30</v>
      </c>
      <c r="G547" s="14">
        <v>46082</v>
      </c>
      <c r="H547">
        <v>13134</v>
      </c>
      <c r="I547">
        <v>6896269.3800000008</v>
      </c>
      <c r="J547">
        <v>188501.629718304</v>
      </c>
      <c r="K547" t="s">
        <v>737</v>
      </c>
      <c r="L547" s="9" t="s">
        <v>738</v>
      </c>
      <c r="M547" t="s">
        <v>33</v>
      </c>
      <c r="N547" s="12">
        <v>121.31119006524784</v>
      </c>
      <c r="O547" s="13">
        <v>0.17352421981351984</v>
      </c>
      <c r="P547" s="9" t="s">
        <v>743</v>
      </c>
      <c r="Q547">
        <v>526.91999999999996</v>
      </c>
      <c r="R547">
        <v>526.91999999999996</v>
      </c>
      <c r="S547" t="s">
        <v>39</v>
      </c>
      <c r="T547">
        <v>820.4135412852479</v>
      </c>
      <c r="U547">
        <v>2134552.92</v>
      </c>
      <c r="V547">
        <v>3323495.2557465392</v>
      </c>
      <c r="W547" t="s">
        <v>30</v>
      </c>
      <c r="X547" t="s">
        <v>741</v>
      </c>
      <c r="Y547" t="s">
        <v>653</v>
      </c>
      <c r="Z547" t="b">
        <v>0</v>
      </c>
      <c r="AA547" t="s">
        <v>35</v>
      </c>
      <c r="AB547" t="s">
        <v>36</v>
      </c>
      <c r="AC547" t="s">
        <v>744</v>
      </c>
    </row>
    <row r="548" spans="2:29" x14ac:dyDescent="0.35">
      <c r="B548" t="s">
        <v>743</v>
      </c>
      <c r="C548">
        <v>509.84</v>
      </c>
      <c r="D548" t="s">
        <v>575</v>
      </c>
      <c r="E548" s="10">
        <v>678.82442863999995</v>
      </c>
      <c r="F548" t="s">
        <v>30</v>
      </c>
      <c r="G548" s="14">
        <v>46082</v>
      </c>
      <c r="H548">
        <v>10207</v>
      </c>
      <c r="I548">
        <v>5203936.88</v>
      </c>
      <c r="J548">
        <v>188501.629718304</v>
      </c>
      <c r="K548" t="s">
        <v>737</v>
      </c>
      <c r="L548" s="9" t="s">
        <v>738</v>
      </c>
      <c r="M548" t="s">
        <v>33</v>
      </c>
      <c r="N548" s="12">
        <v>425.82777578294395</v>
      </c>
      <c r="O548" s="13">
        <v>0.62730178499332201</v>
      </c>
      <c r="P548" s="9" t="s">
        <v>743</v>
      </c>
      <c r="Q548">
        <v>162.49</v>
      </c>
      <c r="R548">
        <v>162.49</v>
      </c>
      <c r="S548" t="s">
        <v>39</v>
      </c>
      <c r="T548">
        <v>252.99665285705603</v>
      </c>
      <c r="U548">
        <v>649147.55000000005</v>
      </c>
      <c r="V548">
        <v>1010721.6281639389</v>
      </c>
      <c r="W548" t="s">
        <v>30</v>
      </c>
      <c r="X548" t="s">
        <v>741</v>
      </c>
      <c r="Y548" t="s">
        <v>653</v>
      </c>
      <c r="Z548" t="b">
        <v>0</v>
      </c>
      <c r="AA548" t="s">
        <v>35</v>
      </c>
      <c r="AB548" t="s">
        <v>36</v>
      </c>
      <c r="AC548" t="s">
        <v>744</v>
      </c>
    </row>
    <row r="549" spans="2:29" x14ac:dyDescent="0.35">
      <c r="B549" t="s">
        <v>745</v>
      </c>
      <c r="C549">
        <v>832.91</v>
      </c>
      <c r="D549" t="s">
        <v>29</v>
      </c>
      <c r="E549" s="10">
        <v>7738.3689938749994</v>
      </c>
      <c r="F549" t="s">
        <v>30</v>
      </c>
      <c r="G549" s="14">
        <v>46082</v>
      </c>
      <c r="H549">
        <v>4150</v>
      </c>
      <c r="I549">
        <v>3456576.5</v>
      </c>
      <c r="J549">
        <v>25335.909337500001</v>
      </c>
      <c r="K549" t="s">
        <v>329</v>
      </c>
      <c r="L549" s="9" t="s">
        <v>330</v>
      </c>
      <c r="M549" t="s">
        <v>50</v>
      </c>
      <c r="N549" s="12">
        <v>6329.1142676306154</v>
      </c>
      <c r="O549" s="13">
        <v>0.81788737040585369</v>
      </c>
      <c r="P549" s="9" t="s">
        <v>745</v>
      </c>
      <c r="Q549">
        <v>905.11</v>
      </c>
      <c r="R549">
        <v>905.11</v>
      </c>
      <c r="S549" t="s">
        <v>39</v>
      </c>
      <c r="T549">
        <v>1409.2547262443841</v>
      </c>
      <c r="U549">
        <v>12354751.5</v>
      </c>
      <c r="V549">
        <v>19236327.013235841</v>
      </c>
      <c r="W549" t="s">
        <v>30</v>
      </c>
      <c r="X549" t="s">
        <v>331</v>
      </c>
      <c r="Y549" t="s">
        <v>746</v>
      </c>
      <c r="Z549" t="b">
        <v>0</v>
      </c>
      <c r="AA549" t="s">
        <v>44</v>
      </c>
      <c r="AB549" t="s">
        <v>36</v>
      </c>
      <c r="AC549" t="s">
        <v>187</v>
      </c>
    </row>
    <row r="550" spans="2:29" x14ac:dyDescent="0.35">
      <c r="B550" t="s">
        <v>747</v>
      </c>
      <c r="C550">
        <v>930.34</v>
      </c>
      <c r="D550" t="s">
        <v>39</v>
      </c>
      <c r="E550" s="10">
        <v>1448.5377932120962</v>
      </c>
      <c r="F550" t="s">
        <v>30</v>
      </c>
      <c r="G550" s="14">
        <v>46082</v>
      </c>
      <c r="H550">
        <v>15011</v>
      </c>
      <c r="I550">
        <v>13965333.74</v>
      </c>
      <c r="J550">
        <v>2479.1289772601099</v>
      </c>
      <c r="K550" t="s">
        <v>748</v>
      </c>
      <c r="L550" s="9" t="s">
        <v>749</v>
      </c>
      <c r="M550" t="s">
        <v>50</v>
      </c>
      <c r="N550" s="12">
        <v>1190.0916463246401</v>
      </c>
      <c r="O550" s="13">
        <v>0.82158135735322568</v>
      </c>
      <c r="P550" s="9" t="s">
        <v>747</v>
      </c>
      <c r="Q550">
        <v>165.99</v>
      </c>
      <c r="R550">
        <v>1.6599000000000002</v>
      </c>
      <c r="S550" t="s">
        <v>39</v>
      </c>
      <c r="T550">
        <v>258.446146887456</v>
      </c>
      <c r="U550">
        <v>609847.26</v>
      </c>
      <c r="V550">
        <v>949531.14366451337</v>
      </c>
      <c r="W550" t="s">
        <v>249</v>
      </c>
      <c r="X550" t="s">
        <v>750</v>
      </c>
      <c r="Y550" t="s">
        <v>751</v>
      </c>
      <c r="Z550" t="b">
        <v>0</v>
      </c>
      <c r="AA550" t="s">
        <v>44</v>
      </c>
      <c r="AB550" t="s">
        <v>45</v>
      </c>
      <c r="AC550" t="s">
        <v>251</v>
      </c>
    </row>
    <row r="551" spans="2:29" x14ac:dyDescent="0.35">
      <c r="B551" t="s">
        <v>747</v>
      </c>
      <c r="C551">
        <v>678.92</v>
      </c>
      <c r="D551" t="s">
        <v>39</v>
      </c>
      <c r="E551" s="10">
        <v>1057.077282034048</v>
      </c>
      <c r="F551" t="s">
        <v>30</v>
      </c>
      <c r="G551" s="14">
        <v>46082</v>
      </c>
      <c r="H551">
        <v>10014</v>
      </c>
      <c r="I551">
        <v>6798704.8799999999</v>
      </c>
      <c r="J551">
        <v>2669.3178759193602</v>
      </c>
      <c r="K551" t="s">
        <v>748</v>
      </c>
      <c r="L551" s="9" t="s">
        <v>749</v>
      </c>
      <c r="M551" t="s">
        <v>50</v>
      </c>
      <c r="N551" s="12">
        <v>167.891126085152</v>
      </c>
      <c r="O551" s="13">
        <v>0.15882578212455076</v>
      </c>
      <c r="P551" s="9" t="s">
        <v>747</v>
      </c>
      <c r="Q551">
        <v>571.09</v>
      </c>
      <c r="R551">
        <v>5.7109000000000005</v>
      </c>
      <c r="S551" t="s">
        <v>39</v>
      </c>
      <c r="T551">
        <v>889.18615594889604</v>
      </c>
      <c r="U551">
        <v>5663499.5300000003</v>
      </c>
      <c r="V551">
        <v>8818059.1085452028</v>
      </c>
      <c r="W551" t="s">
        <v>249</v>
      </c>
      <c r="X551" t="s">
        <v>750</v>
      </c>
      <c r="Y551" t="s">
        <v>751</v>
      </c>
      <c r="Z551" t="b">
        <v>0</v>
      </c>
      <c r="AA551" t="s">
        <v>44</v>
      </c>
      <c r="AB551" t="s">
        <v>45</v>
      </c>
      <c r="AC551" t="s">
        <v>251</v>
      </c>
    </row>
    <row r="552" spans="2:29" x14ac:dyDescent="0.35">
      <c r="B552" t="s">
        <v>747</v>
      </c>
      <c r="C552">
        <v>567.67999999999995</v>
      </c>
      <c r="D552" t="s">
        <v>39</v>
      </c>
      <c r="E552" s="10">
        <v>883.87679176499194</v>
      </c>
      <c r="F552" t="s">
        <v>30</v>
      </c>
      <c r="G552" s="14">
        <v>46082</v>
      </c>
      <c r="H552">
        <v>9558</v>
      </c>
      <c r="I552">
        <v>5425885.4399999995</v>
      </c>
      <c r="J552">
        <v>11205.262579534299</v>
      </c>
      <c r="K552" t="s">
        <v>748</v>
      </c>
      <c r="L552" s="9" t="s">
        <v>749</v>
      </c>
      <c r="M552" t="s">
        <v>50</v>
      </c>
      <c r="N552" s="12">
        <v>252.23372369280003</v>
      </c>
      <c r="O552" s="13">
        <v>0.28537204058624582</v>
      </c>
      <c r="P552" s="9" t="s">
        <v>747</v>
      </c>
      <c r="Q552">
        <v>729.68</v>
      </c>
      <c r="R552">
        <v>7.2967999999999993</v>
      </c>
      <c r="S552" t="s">
        <v>39</v>
      </c>
      <c r="T552">
        <v>1136.110515457792</v>
      </c>
      <c r="U552">
        <v>12528605.6</v>
      </c>
      <c r="V552">
        <v>19507017.550410289</v>
      </c>
      <c r="W552" t="s">
        <v>249</v>
      </c>
      <c r="X552" t="s">
        <v>750</v>
      </c>
      <c r="Y552" t="s">
        <v>751</v>
      </c>
      <c r="Z552" t="b">
        <v>0</v>
      </c>
      <c r="AA552" t="s">
        <v>44</v>
      </c>
      <c r="AB552" t="s">
        <v>45</v>
      </c>
      <c r="AC552" t="s">
        <v>251</v>
      </c>
    </row>
    <row r="553" spans="2:29" x14ac:dyDescent="0.35">
      <c r="B553" t="s">
        <v>747</v>
      </c>
      <c r="C553">
        <v>725.41</v>
      </c>
      <c r="D553" t="s">
        <v>39</v>
      </c>
      <c r="E553" s="10">
        <v>1129.462132740704</v>
      </c>
      <c r="F553" t="s">
        <v>30</v>
      </c>
      <c r="G553" s="14">
        <v>46082</v>
      </c>
      <c r="H553">
        <v>8594</v>
      </c>
      <c r="I553">
        <v>6234173.54</v>
      </c>
      <c r="J553">
        <v>3666.17463668145</v>
      </c>
      <c r="K553" t="s">
        <v>748</v>
      </c>
      <c r="L553" s="9" t="s">
        <v>749</v>
      </c>
      <c r="M553" t="s">
        <v>50</v>
      </c>
      <c r="N553" s="12">
        <v>424.43773505343995</v>
      </c>
      <c r="O553" s="13">
        <v>0.37578748569774334</v>
      </c>
      <c r="P553" s="9" t="s">
        <v>747</v>
      </c>
      <c r="Q553">
        <v>452.81</v>
      </c>
      <c r="R553">
        <v>4.5281000000000002</v>
      </c>
      <c r="S553" t="s">
        <v>39</v>
      </c>
      <c r="T553">
        <v>705.02439768726401</v>
      </c>
      <c r="U553">
        <v>121805.89</v>
      </c>
      <c r="V553">
        <v>189651.56297787401</v>
      </c>
      <c r="W553" t="s">
        <v>249</v>
      </c>
      <c r="X553" t="s">
        <v>750</v>
      </c>
      <c r="Y553" t="s">
        <v>751</v>
      </c>
      <c r="Z553" t="b">
        <v>0</v>
      </c>
      <c r="AA553" t="s">
        <v>44</v>
      </c>
      <c r="AB553" t="s">
        <v>45</v>
      </c>
      <c r="AC553" t="s">
        <v>251</v>
      </c>
    </row>
    <row r="554" spans="2:29" x14ac:dyDescent="0.35">
      <c r="B554" t="s">
        <v>752</v>
      </c>
      <c r="C554">
        <v>455.04</v>
      </c>
      <c r="D554" t="s">
        <v>39</v>
      </c>
      <c r="E554" s="10">
        <v>708.49650388377609</v>
      </c>
      <c r="F554" t="s">
        <v>30</v>
      </c>
      <c r="G554" s="14">
        <v>46082</v>
      </c>
      <c r="H554">
        <v>11781</v>
      </c>
      <c r="I554">
        <v>5360826.24</v>
      </c>
      <c r="J554">
        <v>10024.2274940487</v>
      </c>
      <c r="K554" t="s">
        <v>748</v>
      </c>
      <c r="L554" s="9" t="s">
        <v>749</v>
      </c>
      <c r="M554" t="s">
        <v>50</v>
      </c>
      <c r="N554" s="12">
        <v>567.52587830880009</v>
      </c>
      <c r="O554" s="13">
        <v>0.80102848101265822</v>
      </c>
      <c r="P554" s="9" t="s">
        <v>752</v>
      </c>
      <c r="Q554">
        <v>90.54</v>
      </c>
      <c r="R554">
        <v>0.90540000000000009</v>
      </c>
      <c r="S554" t="s">
        <v>39</v>
      </c>
      <c r="T554">
        <v>140.97062557497603</v>
      </c>
      <c r="U554">
        <v>885843.3600000001</v>
      </c>
      <c r="V554">
        <v>1379256.6006255655</v>
      </c>
      <c r="W554" t="s">
        <v>249</v>
      </c>
      <c r="X554" t="s">
        <v>750</v>
      </c>
      <c r="Y554" t="s">
        <v>753</v>
      </c>
      <c r="Z554" t="b">
        <v>0</v>
      </c>
      <c r="AA554" t="s">
        <v>565</v>
      </c>
      <c r="AB554" t="s">
        <v>45</v>
      </c>
      <c r="AC554" t="s">
        <v>251</v>
      </c>
    </row>
    <row r="555" spans="2:29" x14ac:dyDescent="0.35">
      <c r="B555" t="s">
        <v>752</v>
      </c>
      <c r="C555">
        <v>106.05</v>
      </c>
      <c r="D555" t="s">
        <v>39</v>
      </c>
      <c r="E555" s="10">
        <v>165.11966912112001</v>
      </c>
      <c r="F555" t="s">
        <v>30</v>
      </c>
      <c r="G555" s="14">
        <v>46082</v>
      </c>
      <c r="H555">
        <v>2317</v>
      </c>
      <c r="I555">
        <v>245717.85</v>
      </c>
      <c r="J555">
        <v>620.96984476407999</v>
      </c>
      <c r="K555" t="s">
        <v>748</v>
      </c>
      <c r="L555" s="9" t="s">
        <v>749</v>
      </c>
      <c r="M555" t="s">
        <v>50</v>
      </c>
      <c r="N555" s="12">
        <v>620.75964999433609</v>
      </c>
      <c r="O555" s="13">
        <v>3.7594530881659596</v>
      </c>
      <c r="P555" s="9" t="s">
        <v>752</v>
      </c>
      <c r="Q555">
        <v>504.74</v>
      </c>
      <c r="R555">
        <v>5.0473999999999997</v>
      </c>
      <c r="S555" t="s">
        <v>39</v>
      </c>
      <c r="T555">
        <v>785.87931911545604</v>
      </c>
      <c r="U555">
        <v>8537172.3599999994</v>
      </c>
      <c r="V555">
        <v>13292362.803518824</v>
      </c>
      <c r="W555" t="s">
        <v>249</v>
      </c>
      <c r="X555" t="s">
        <v>750</v>
      </c>
      <c r="Y555" t="s">
        <v>753</v>
      </c>
      <c r="Z555" t="b">
        <v>0</v>
      </c>
      <c r="AA555" t="s">
        <v>565</v>
      </c>
      <c r="AB555" t="s">
        <v>45</v>
      </c>
      <c r="AC555" t="s">
        <v>251</v>
      </c>
    </row>
    <row r="556" spans="2:29" x14ac:dyDescent="0.35">
      <c r="B556" t="s">
        <v>754</v>
      </c>
      <c r="C556">
        <v>328.43</v>
      </c>
      <c r="D556" t="s">
        <v>39</v>
      </c>
      <c r="E556" s="10">
        <v>511.36494982979201</v>
      </c>
      <c r="F556" t="s">
        <v>30</v>
      </c>
      <c r="G556" s="14">
        <v>46082</v>
      </c>
      <c r="H556">
        <v>6391</v>
      </c>
      <c r="I556">
        <v>2098996.13</v>
      </c>
      <c r="J556">
        <v>1470.21899446162</v>
      </c>
      <c r="K556" t="s">
        <v>748</v>
      </c>
      <c r="L556" s="9" t="s">
        <v>749</v>
      </c>
      <c r="M556" t="s">
        <v>50</v>
      </c>
      <c r="N556" s="12">
        <v>924.12519767523213</v>
      </c>
      <c r="O556" s="13">
        <v>1.8071735225162138</v>
      </c>
      <c r="P556" s="9" t="s">
        <v>754</v>
      </c>
      <c r="Q556">
        <v>921.96</v>
      </c>
      <c r="R556">
        <v>9.2195999999999998</v>
      </c>
      <c r="S556" t="s">
        <v>39</v>
      </c>
      <c r="T556">
        <v>1435.4901475050242</v>
      </c>
      <c r="U556">
        <v>7147955.8799999999</v>
      </c>
      <c r="V556">
        <v>11129355.113606453</v>
      </c>
      <c r="W556" t="s">
        <v>249</v>
      </c>
      <c r="X556" t="s">
        <v>750</v>
      </c>
      <c r="Y556" t="s">
        <v>755</v>
      </c>
      <c r="Z556" t="b">
        <v>0</v>
      </c>
      <c r="AA556" t="s">
        <v>44</v>
      </c>
      <c r="AB556" t="s">
        <v>45</v>
      </c>
      <c r="AC556" t="s">
        <v>251</v>
      </c>
    </row>
    <row r="557" spans="2:29" x14ac:dyDescent="0.35">
      <c r="B557" t="s">
        <v>745</v>
      </c>
      <c r="C557">
        <v>339.54</v>
      </c>
      <c r="D557" t="s">
        <v>29</v>
      </c>
      <c r="E557" s="10">
        <v>3154.5854992499999</v>
      </c>
      <c r="F557" t="s">
        <v>30</v>
      </c>
      <c r="G557" s="14">
        <v>46082</v>
      </c>
      <c r="H557">
        <v>5440</v>
      </c>
      <c r="I557">
        <v>1847097.6</v>
      </c>
      <c r="J557">
        <v>8445.3031124999998</v>
      </c>
      <c r="K557" t="s">
        <v>329</v>
      </c>
      <c r="L557" s="9" t="s">
        <v>330</v>
      </c>
      <c r="M557" t="s">
        <v>50</v>
      </c>
      <c r="N557" s="12">
        <v>2512.2769928611679</v>
      </c>
      <c r="O557" s="13">
        <v>0.79638893713879677</v>
      </c>
      <c r="P557" s="9" t="s">
        <v>745</v>
      </c>
      <c r="Q557">
        <v>412.53</v>
      </c>
      <c r="R557">
        <v>412.53</v>
      </c>
      <c r="S557" t="s">
        <v>39</v>
      </c>
      <c r="T557">
        <v>642.30850638883203</v>
      </c>
      <c r="U557">
        <v>4217294.1899999995</v>
      </c>
      <c r="V557">
        <v>6566319.86081303</v>
      </c>
      <c r="W557" t="s">
        <v>30</v>
      </c>
      <c r="X557" t="s">
        <v>331</v>
      </c>
      <c r="Y557" t="s">
        <v>746</v>
      </c>
      <c r="Z557" t="b">
        <v>0</v>
      </c>
      <c r="AA557" t="s">
        <v>44</v>
      </c>
      <c r="AB557" t="s">
        <v>36</v>
      </c>
      <c r="AC557" t="s">
        <v>187</v>
      </c>
    </row>
    <row r="558" spans="2:29" x14ac:dyDescent="0.35">
      <c r="B558" t="s">
        <v>745</v>
      </c>
      <c r="C558">
        <v>924.06</v>
      </c>
      <c r="D558" t="s">
        <v>29</v>
      </c>
      <c r="E558" s="10">
        <v>8585.2219957499983</v>
      </c>
      <c r="F558" t="s">
        <v>30</v>
      </c>
      <c r="G558" s="14">
        <v>46082</v>
      </c>
      <c r="H558">
        <v>10027</v>
      </c>
      <c r="I558">
        <v>9265549.6199999992</v>
      </c>
      <c r="J558">
        <v>9289.8334237500003</v>
      </c>
      <c r="K558" t="s">
        <v>329</v>
      </c>
      <c r="L558" s="9" t="s">
        <v>330</v>
      </c>
      <c r="M558" t="s">
        <v>50</v>
      </c>
      <c r="N558" s="12">
        <v>7264.0155230539349</v>
      </c>
      <c r="O558" s="13">
        <v>0.84610689469065459</v>
      </c>
      <c r="P558" s="9" t="s">
        <v>745</v>
      </c>
      <c r="Q558">
        <v>848.56</v>
      </c>
      <c r="R558">
        <v>848.56</v>
      </c>
      <c r="S558" t="s">
        <v>39</v>
      </c>
      <c r="T558">
        <v>1321.2064726960639</v>
      </c>
      <c r="U558">
        <v>12856532.559999999</v>
      </c>
      <c r="V558">
        <v>20017599.267818063</v>
      </c>
      <c r="W558" t="s">
        <v>30</v>
      </c>
      <c r="X558" t="s">
        <v>331</v>
      </c>
      <c r="Y558" t="s">
        <v>746</v>
      </c>
      <c r="Z558" t="b">
        <v>0</v>
      </c>
      <c r="AA558" t="s">
        <v>44</v>
      </c>
      <c r="AB558" t="s">
        <v>36</v>
      </c>
      <c r="AC558" t="s">
        <v>187</v>
      </c>
    </row>
    <row r="559" spans="2:29" x14ac:dyDescent="0.35">
      <c r="B559" t="s">
        <v>756</v>
      </c>
      <c r="C559">
        <v>556.89</v>
      </c>
      <c r="D559" t="s">
        <v>39</v>
      </c>
      <c r="E559" s="10">
        <v>867.07678016841601</v>
      </c>
      <c r="F559" t="s">
        <v>30</v>
      </c>
      <c r="G559" s="14">
        <v>46082</v>
      </c>
      <c r="H559">
        <v>14438</v>
      </c>
      <c r="I559">
        <v>8040377.8199999994</v>
      </c>
      <c r="J559">
        <v>1711.1411255456001</v>
      </c>
      <c r="K559" t="s">
        <v>474</v>
      </c>
      <c r="L559" s="9" t="s">
        <v>475</v>
      </c>
      <c r="M559" t="s">
        <v>50</v>
      </c>
      <c r="N559" s="12">
        <v>649.68867830428803</v>
      </c>
      <c r="O559" s="13">
        <v>0.74928621451274047</v>
      </c>
      <c r="P559" s="9" t="s">
        <v>756</v>
      </c>
      <c r="Q559">
        <v>974.16</v>
      </c>
      <c r="R559">
        <v>0.97415999999999991</v>
      </c>
      <c r="S559" t="s">
        <v>39</v>
      </c>
      <c r="T559">
        <v>1516.765458472704</v>
      </c>
      <c r="U559">
        <v>14294823.84</v>
      </c>
      <c r="V559">
        <v>22257016.337628458</v>
      </c>
      <c r="W559" t="s">
        <v>352</v>
      </c>
      <c r="X559" t="s">
        <v>476</v>
      </c>
      <c r="Y559" t="s">
        <v>757</v>
      </c>
      <c r="Z559" t="b">
        <v>0</v>
      </c>
      <c r="AA559" t="s">
        <v>44</v>
      </c>
      <c r="AB559" t="s">
        <v>45</v>
      </c>
      <c r="AC559" t="s">
        <v>434</v>
      </c>
    </row>
    <row r="560" spans="2:29" x14ac:dyDescent="0.35">
      <c r="B560" t="s">
        <v>758</v>
      </c>
      <c r="C560">
        <v>309.18</v>
      </c>
      <c r="D560" t="s">
        <v>39</v>
      </c>
      <c r="E560" s="10">
        <v>481.39273266259204</v>
      </c>
      <c r="F560" t="s">
        <v>30</v>
      </c>
      <c r="G560" s="14">
        <v>46082</v>
      </c>
      <c r="H560">
        <v>290</v>
      </c>
      <c r="I560">
        <v>89662.2</v>
      </c>
      <c r="J560">
        <v>2595.9054063384001</v>
      </c>
      <c r="K560" t="s">
        <v>474</v>
      </c>
      <c r="L560" s="9" t="s">
        <v>475</v>
      </c>
      <c r="M560" t="s">
        <v>50</v>
      </c>
      <c r="N560" s="12">
        <v>100.13056031286396</v>
      </c>
      <c r="O560" s="13">
        <v>0.20800181124264172</v>
      </c>
      <c r="P560" s="9" t="s">
        <v>758</v>
      </c>
      <c r="Q560">
        <v>373.49</v>
      </c>
      <c r="R560">
        <v>0.37348999999999999</v>
      </c>
      <c r="S560" t="s">
        <v>39</v>
      </c>
      <c r="T560">
        <v>581.523292975456</v>
      </c>
      <c r="U560">
        <v>5471255.0099999998</v>
      </c>
      <c r="V560">
        <v>8518734.7187974546</v>
      </c>
      <c r="W560" t="s">
        <v>352</v>
      </c>
      <c r="X560" t="s">
        <v>476</v>
      </c>
      <c r="Y560" t="s">
        <v>759</v>
      </c>
      <c r="Z560" t="b">
        <v>0</v>
      </c>
      <c r="AA560" t="s">
        <v>44</v>
      </c>
      <c r="AB560" t="s">
        <v>45</v>
      </c>
      <c r="AC560" t="s">
        <v>434</v>
      </c>
    </row>
    <row r="561" spans="2:29" x14ac:dyDescent="0.35">
      <c r="B561" t="s">
        <v>760</v>
      </c>
      <c r="C561">
        <v>797.14</v>
      </c>
      <c r="D561" t="s">
        <v>39</v>
      </c>
      <c r="E561" s="10">
        <v>1241.145620398016</v>
      </c>
      <c r="F561" t="s">
        <v>30</v>
      </c>
      <c r="G561" s="14">
        <v>46082</v>
      </c>
      <c r="H561">
        <v>10547</v>
      </c>
      <c r="I561">
        <v>8407435.5800000001</v>
      </c>
      <c r="J561">
        <v>5702.2571335128996</v>
      </c>
      <c r="K561" t="s">
        <v>474</v>
      </c>
      <c r="L561" s="9" t="s">
        <v>475</v>
      </c>
      <c r="M561" t="s">
        <v>50</v>
      </c>
      <c r="N561" s="12">
        <v>247.34474904838407</v>
      </c>
      <c r="O561" s="13">
        <v>0.1992874526431995</v>
      </c>
      <c r="P561" s="9" t="s">
        <v>760</v>
      </c>
      <c r="Q561">
        <v>638.28</v>
      </c>
      <c r="R561">
        <v>0.63827999999999996</v>
      </c>
      <c r="S561" t="s">
        <v>39</v>
      </c>
      <c r="T561">
        <v>993.80087134963196</v>
      </c>
      <c r="U561">
        <v>4517107.5599999996</v>
      </c>
      <c r="V561">
        <v>7033128.766541345</v>
      </c>
      <c r="W561" t="s">
        <v>352</v>
      </c>
      <c r="X561" t="s">
        <v>476</v>
      </c>
      <c r="Y561" t="s">
        <v>761</v>
      </c>
      <c r="Z561" t="b">
        <v>0</v>
      </c>
      <c r="AA561" t="s">
        <v>44</v>
      </c>
      <c r="AB561" t="s">
        <v>45</v>
      </c>
      <c r="AC561" t="s">
        <v>434</v>
      </c>
    </row>
    <row r="562" spans="2:29" x14ac:dyDescent="0.35">
      <c r="B562" t="s">
        <v>760</v>
      </c>
      <c r="C562">
        <v>727.85</v>
      </c>
      <c r="D562" t="s">
        <v>39</v>
      </c>
      <c r="E562" s="10">
        <v>1133.2612085790402</v>
      </c>
      <c r="F562" t="s">
        <v>30</v>
      </c>
      <c r="G562" s="14">
        <v>46082</v>
      </c>
      <c r="H562">
        <v>6075</v>
      </c>
      <c r="I562">
        <v>4421688.75</v>
      </c>
      <c r="J562">
        <v>2859.4896475973801</v>
      </c>
      <c r="K562" t="s">
        <v>474</v>
      </c>
      <c r="L562" s="9" t="s">
        <v>475</v>
      </c>
      <c r="M562" t="s">
        <v>50</v>
      </c>
      <c r="N562" s="12">
        <v>727.32061326307212</v>
      </c>
      <c r="O562" s="13">
        <v>0.6417943257539328</v>
      </c>
      <c r="P562" s="9" t="s">
        <v>760</v>
      </c>
      <c r="Q562">
        <v>260.72000000000003</v>
      </c>
      <c r="R562">
        <v>0.26072000000000001</v>
      </c>
      <c r="S562" t="s">
        <v>39</v>
      </c>
      <c r="T562">
        <v>405.94059531596804</v>
      </c>
      <c r="U562">
        <v>3658944.4800000004</v>
      </c>
      <c r="V562">
        <v>5696970.3146642959</v>
      </c>
      <c r="W562" t="s">
        <v>352</v>
      </c>
      <c r="X562" t="s">
        <v>476</v>
      </c>
      <c r="Y562" t="s">
        <v>761</v>
      </c>
      <c r="Z562" t="b">
        <v>0</v>
      </c>
      <c r="AA562" t="s">
        <v>44</v>
      </c>
      <c r="AB562" t="s">
        <v>45</v>
      </c>
      <c r="AC562" t="s">
        <v>434</v>
      </c>
    </row>
    <row r="563" spans="2:29" x14ac:dyDescent="0.35">
      <c r="B563" t="s">
        <v>762</v>
      </c>
      <c r="C563">
        <v>750.26</v>
      </c>
      <c r="D563" t="s">
        <v>39</v>
      </c>
      <c r="E563" s="10">
        <v>1168.153540356544</v>
      </c>
      <c r="F563" t="s">
        <v>30</v>
      </c>
      <c r="G563" s="14">
        <v>46082</v>
      </c>
      <c r="H563">
        <v>6561</v>
      </c>
      <c r="I563">
        <v>4922455.8600000003</v>
      </c>
      <c r="J563">
        <v>4924.0071060399996</v>
      </c>
      <c r="K563" t="s">
        <v>763</v>
      </c>
      <c r="L563" s="9" t="s">
        <v>764</v>
      </c>
      <c r="M563" t="s">
        <v>50</v>
      </c>
      <c r="N563" s="12">
        <v>48.375937007008133</v>
      </c>
      <c r="O563" s="13">
        <v>4.1412310399061771E-2</v>
      </c>
      <c r="P563" s="9" t="s">
        <v>762</v>
      </c>
      <c r="Q563">
        <v>781.33</v>
      </c>
      <c r="R563">
        <v>781.33</v>
      </c>
      <c r="S563" t="s">
        <v>39</v>
      </c>
      <c r="T563">
        <v>1216.5294773635521</v>
      </c>
      <c r="U563">
        <v>5313044</v>
      </c>
      <c r="V563">
        <v>8272400.4460721547</v>
      </c>
      <c r="W563" t="s">
        <v>30</v>
      </c>
      <c r="X563" t="s">
        <v>765</v>
      </c>
      <c r="Y563" t="s">
        <v>766</v>
      </c>
      <c r="Z563" t="b">
        <v>0</v>
      </c>
      <c r="AA563" t="s">
        <v>44</v>
      </c>
      <c r="AB563" t="s">
        <v>45</v>
      </c>
      <c r="AC563" t="s">
        <v>245</v>
      </c>
    </row>
    <row r="564" spans="2:29" x14ac:dyDescent="0.35">
      <c r="B564" t="s">
        <v>767</v>
      </c>
      <c r="C564">
        <v>347.4</v>
      </c>
      <c r="D564" t="s">
        <v>39</v>
      </c>
      <c r="E564" s="10">
        <v>540.90120747456001</v>
      </c>
      <c r="F564" t="s">
        <v>30</v>
      </c>
      <c r="G564" s="14">
        <v>46082</v>
      </c>
      <c r="H564">
        <v>4393</v>
      </c>
      <c r="I564">
        <v>1526128.2</v>
      </c>
      <c r="J564">
        <v>18033.777045058599</v>
      </c>
      <c r="K564" t="s">
        <v>763</v>
      </c>
      <c r="L564" s="9" t="s">
        <v>764</v>
      </c>
      <c r="M564" t="s">
        <v>50</v>
      </c>
      <c r="N564" s="12">
        <v>411.04754972159992</v>
      </c>
      <c r="O564" s="13">
        <v>0.75993091537132973</v>
      </c>
      <c r="P564" s="9" t="s">
        <v>767</v>
      </c>
      <c r="Q564">
        <v>611.4</v>
      </c>
      <c r="R564">
        <v>611.4</v>
      </c>
      <c r="S564" t="s">
        <v>39</v>
      </c>
      <c r="T564">
        <v>951.94875719615993</v>
      </c>
      <c r="U564">
        <v>10969127.4</v>
      </c>
      <c r="V564">
        <v>17078912.652856305</v>
      </c>
      <c r="W564" t="s">
        <v>30</v>
      </c>
      <c r="X564" t="s">
        <v>765</v>
      </c>
      <c r="Y564" t="s">
        <v>768</v>
      </c>
      <c r="Z564" t="b">
        <v>0</v>
      </c>
      <c r="AA564" t="s">
        <v>44</v>
      </c>
      <c r="AB564" t="s">
        <v>45</v>
      </c>
      <c r="AC564" t="s">
        <v>288</v>
      </c>
    </row>
    <row r="565" spans="2:29" x14ac:dyDescent="0.35">
      <c r="B565" t="s">
        <v>769</v>
      </c>
      <c r="C565">
        <v>241.41</v>
      </c>
      <c r="D565" t="s">
        <v>39</v>
      </c>
      <c r="E565" s="10">
        <v>375.87495825110398</v>
      </c>
      <c r="F565" t="s">
        <v>30</v>
      </c>
      <c r="G565" s="14">
        <v>46082</v>
      </c>
      <c r="H565">
        <v>13834</v>
      </c>
      <c r="I565">
        <v>3339665.94</v>
      </c>
      <c r="J565">
        <v>9253.2408636191994</v>
      </c>
      <c r="K565" t="s">
        <v>763</v>
      </c>
      <c r="L565" s="9" t="s">
        <v>764</v>
      </c>
      <c r="M565" t="s">
        <v>50</v>
      </c>
      <c r="N565" s="12">
        <v>766.35456050368009</v>
      </c>
      <c r="O565" s="13">
        <v>2.0388550598566759</v>
      </c>
      <c r="P565" s="9" t="s">
        <v>769</v>
      </c>
      <c r="Q565">
        <v>733.61</v>
      </c>
      <c r="R565">
        <v>733.61</v>
      </c>
      <c r="S565" t="s">
        <v>39</v>
      </c>
      <c r="T565">
        <v>1142.2295187547841</v>
      </c>
      <c r="U565">
        <v>13455874.620000001</v>
      </c>
      <c r="V565">
        <v>20950773.83300025</v>
      </c>
      <c r="W565" t="s">
        <v>30</v>
      </c>
      <c r="X565" t="s">
        <v>765</v>
      </c>
      <c r="Y565" t="s">
        <v>770</v>
      </c>
      <c r="Z565" t="b">
        <v>0</v>
      </c>
      <c r="AA565" t="s">
        <v>44</v>
      </c>
      <c r="AB565" t="s">
        <v>45</v>
      </c>
      <c r="AC565" t="s">
        <v>771</v>
      </c>
    </row>
    <row r="566" spans="2:29" x14ac:dyDescent="0.35">
      <c r="B566" t="s">
        <v>772</v>
      </c>
      <c r="C566">
        <v>835.15</v>
      </c>
      <c r="D566" t="s">
        <v>39</v>
      </c>
      <c r="E566" s="10">
        <v>1300.32712556816</v>
      </c>
      <c r="F566" t="s">
        <v>30</v>
      </c>
      <c r="G566" s="14">
        <v>46082</v>
      </c>
      <c r="H566">
        <v>14455</v>
      </c>
      <c r="I566">
        <v>12072093.25</v>
      </c>
      <c r="J566">
        <v>10729.2752467104</v>
      </c>
      <c r="K566" t="s">
        <v>763</v>
      </c>
      <c r="L566" s="9" t="s">
        <v>764</v>
      </c>
      <c r="M566" t="s">
        <v>50</v>
      </c>
      <c r="N566" s="12">
        <v>733.31505669651199</v>
      </c>
      <c r="O566" s="13">
        <v>0.56394659641980482</v>
      </c>
      <c r="P566" s="9" t="s">
        <v>772</v>
      </c>
      <c r="Q566">
        <v>364.17</v>
      </c>
      <c r="R566">
        <v>364.17</v>
      </c>
      <c r="S566" t="s">
        <v>39</v>
      </c>
      <c r="T566">
        <v>567.01206887164801</v>
      </c>
      <c r="U566">
        <v>4550304.1500000004</v>
      </c>
      <c r="V566">
        <v>7084815.8005512422</v>
      </c>
      <c r="W566" t="s">
        <v>30</v>
      </c>
      <c r="X566" t="s">
        <v>765</v>
      </c>
      <c r="Y566" t="s">
        <v>773</v>
      </c>
      <c r="Z566" t="b">
        <v>0</v>
      </c>
      <c r="AA566" t="s">
        <v>44</v>
      </c>
      <c r="AB566" t="s">
        <v>45</v>
      </c>
      <c r="AC566" t="s">
        <v>771</v>
      </c>
    </row>
    <row r="567" spans="2:29" x14ac:dyDescent="0.35">
      <c r="B567" t="s">
        <v>774</v>
      </c>
      <c r="C567">
        <v>226.18</v>
      </c>
      <c r="D567" t="s">
        <v>39</v>
      </c>
      <c r="E567" s="10">
        <v>352.16187422739205</v>
      </c>
      <c r="F567" t="s">
        <v>30</v>
      </c>
      <c r="G567" s="14">
        <v>46082</v>
      </c>
      <c r="H567">
        <v>3769</v>
      </c>
      <c r="I567">
        <v>852472.42</v>
      </c>
      <c r="J567">
        <v>10091.840144983</v>
      </c>
      <c r="K567" t="s">
        <v>763</v>
      </c>
      <c r="L567" s="9" t="s">
        <v>764</v>
      </c>
      <c r="M567" t="s">
        <v>50</v>
      </c>
      <c r="N567" s="12">
        <v>992.41514286761617</v>
      </c>
      <c r="O567" s="13">
        <v>2.8180652577593071</v>
      </c>
      <c r="P567" s="9" t="s">
        <v>774</v>
      </c>
      <c r="Q567">
        <v>863.57</v>
      </c>
      <c r="R567">
        <v>863.57</v>
      </c>
      <c r="S567" t="s">
        <v>39</v>
      </c>
      <c r="T567">
        <v>1344.5770170950082</v>
      </c>
      <c r="U567">
        <v>9454364.3600000013</v>
      </c>
      <c r="V567">
        <v>14720429.183156149</v>
      </c>
      <c r="W567" t="s">
        <v>30</v>
      </c>
      <c r="X567" t="s">
        <v>765</v>
      </c>
      <c r="Y567" t="s">
        <v>768</v>
      </c>
      <c r="Z567" t="b">
        <v>0</v>
      </c>
      <c r="AA567" t="s">
        <v>44</v>
      </c>
      <c r="AB567" t="s">
        <v>45</v>
      </c>
      <c r="AC567" t="s">
        <v>288</v>
      </c>
    </row>
    <row r="568" spans="2:29" x14ac:dyDescent="0.35">
      <c r="B568" t="s">
        <v>775</v>
      </c>
      <c r="C568">
        <v>785.31</v>
      </c>
      <c r="D568" t="s">
        <v>39</v>
      </c>
      <c r="E568" s="10">
        <v>1222.726330575264</v>
      </c>
      <c r="F568" t="s">
        <v>30</v>
      </c>
      <c r="G568" s="14">
        <v>46082</v>
      </c>
      <c r="H568">
        <v>14879</v>
      </c>
      <c r="I568">
        <v>11684627.489999998</v>
      </c>
      <c r="J568">
        <v>5518.0019553536004</v>
      </c>
      <c r="K568" t="s">
        <v>763</v>
      </c>
      <c r="L568" s="9" t="s">
        <v>764</v>
      </c>
      <c r="M568" t="s">
        <v>50</v>
      </c>
      <c r="N568" s="12">
        <v>117.95819078374416</v>
      </c>
      <c r="O568" s="13">
        <v>9.6471457131578744E-2</v>
      </c>
      <c r="P568" s="9" t="s">
        <v>775</v>
      </c>
      <c r="Q568">
        <v>709.55</v>
      </c>
      <c r="R568">
        <v>709.55</v>
      </c>
      <c r="S568" t="s">
        <v>39</v>
      </c>
      <c r="T568">
        <v>1104.7681397915198</v>
      </c>
      <c r="U568">
        <v>1553914.5</v>
      </c>
      <c r="V568">
        <v>2419442.2261434286</v>
      </c>
      <c r="W568" t="s">
        <v>30</v>
      </c>
      <c r="X568" t="s">
        <v>765</v>
      </c>
      <c r="Y568" t="s">
        <v>776</v>
      </c>
      <c r="Z568" t="b">
        <v>0</v>
      </c>
      <c r="AA568" t="s">
        <v>44</v>
      </c>
      <c r="AB568" t="s">
        <v>45</v>
      </c>
      <c r="AC568" t="s">
        <v>245</v>
      </c>
    </row>
    <row r="569" spans="2:29" x14ac:dyDescent="0.35">
      <c r="B569" t="s">
        <v>777</v>
      </c>
      <c r="C569">
        <v>888.36</v>
      </c>
      <c r="D569" t="s">
        <v>39</v>
      </c>
      <c r="E569" s="10">
        <v>1383.1750048131842</v>
      </c>
      <c r="F569" t="s">
        <v>30</v>
      </c>
      <c r="G569" s="14">
        <v>46082</v>
      </c>
      <c r="H569">
        <v>3423</v>
      </c>
      <c r="I569">
        <v>3040856.2800000003</v>
      </c>
      <c r="J569">
        <v>4882.7466512383999</v>
      </c>
      <c r="K569" t="s">
        <v>763</v>
      </c>
      <c r="L569" s="9" t="s">
        <v>764</v>
      </c>
      <c r="M569" t="s">
        <v>50</v>
      </c>
      <c r="N569" s="12">
        <v>671.00398495462423</v>
      </c>
      <c r="O569" s="13">
        <v>0.48511864559412859</v>
      </c>
      <c r="P569" s="9" t="s">
        <v>777</v>
      </c>
      <c r="Q569">
        <v>457.4</v>
      </c>
      <c r="R569">
        <v>457.4</v>
      </c>
      <c r="S569" t="s">
        <v>39</v>
      </c>
      <c r="T569">
        <v>712.17101985855993</v>
      </c>
      <c r="U569">
        <v>1362594.5999999999</v>
      </c>
      <c r="V569">
        <v>2121557.4681586502</v>
      </c>
      <c r="W569" t="s">
        <v>30</v>
      </c>
      <c r="X569" t="s">
        <v>765</v>
      </c>
      <c r="Y569" t="s">
        <v>778</v>
      </c>
      <c r="Z569" t="b">
        <v>0</v>
      </c>
      <c r="AA569" t="s">
        <v>44</v>
      </c>
      <c r="AB569" t="s">
        <v>45</v>
      </c>
      <c r="AC569" t="s">
        <v>245</v>
      </c>
    </row>
    <row r="570" spans="2:29" x14ac:dyDescent="0.35">
      <c r="B570" t="s">
        <v>779</v>
      </c>
      <c r="C570">
        <v>751.92</v>
      </c>
      <c r="D570" t="s">
        <v>39</v>
      </c>
      <c r="E570" s="10">
        <v>1170.738157525248</v>
      </c>
      <c r="F570" t="s">
        <v>30</v>
      </c>
      <c r="G570" s="14">
        <v>46082</v>
      </c>
      <c r="H570">
        <v>7073</v>
      </c>
      <c r="I570">
        <v>5318330.16</v>
      </c>
      <c r="J570">
        <v>13847.9428303936</v>
      </c>
      <c r="K570" t="s">
        <v>763</v>
      </c>
      <c r="L570" s="9" t="s">
        <v>764</v>
      </c>
      <c r="M570" t="s">
        <v>50</v>
      </c>
      <c r="N570" s="12">
        <v>686.38712810329594</v>
      </c>
      <c r="O570" s="13">
        <v>0.5862857750824555</v>
      </c>
      <c r="P570" s="9" t="s">
        <v>779</v>
      </c>
      <c r="Q570">
        <v>311.08</v>
      </c>
      <c r="R570">
        <v>311.08</v>
      </c>
      <c r="S570" t="s">
        <v>39</v>
      </c>
      <c r="T570">
        <v>484.35102942195198</v>
      </c>
      <c r="U570">
        <v>5906787.04</v>
      </c>
      <c r="V570">
        <v>9196857.3466640245</v>
      </c>
      <c r="W570" t="s">
        <v>30</v>
      </c>
      <c r="X570" t="s">
        <v>765</v>
      </c>
      <c r="Y570" t="s">
        <v>780</v>
      </c>
      <c r="Z570" t="b">
        <v>0</v>
      </c>
      <c r="AA570" t="s">
        <v>44</v>
      </c>
      <c r="AB570" t="s">
        <v>45</v>
      </c>
      <c r="AC570" t="s">
        <v>245</v>
      </c>
    </row>
    <row r="571" spans="2:29" x14ac:dyDescent="0.35">
      <c r="B571" t="s">
        <v>781</v>
      </c>
      <c r="C571">
        <v>799.09</v>
      </c>
      <c r="D571" t="s">
        <v>39</v>
      </c>
      <c r="E571" s="10">
        <v>1244.1817670720961</v>
      </c>
      <c r="F571" t="s">
        <v>30</v>
      </c>
      <c r="G571" s="14">
        <v>46082</v>
      </c>
      <c r="H571">
        <v>19877</v>
      </c>
      <c r="I571">
        <v>15883511.93</v>
      </c>
      <c r="J571">
        <v>3741.7783011020801</v>
      </c>
      <c r="K571" t="s">
        <v>763</v>
      </c>
      <c r="L571" s="9" t="s">
        <v>764</v>
      </c>
      <c r="M571" t="s">
        <v>50</v>
      </c>
      <c r="N571" s="12">
        <v>424.12633539455999</v>
      </c>
      <c r="O571" s="13">
        <v>0.34088775982680292</v>
      </c>
      <c r="P571" s="9" t="s">
        <v>781</v>
      </c>
      <c r="Q571">
        <v>526.69000000000005</v>
      </c>
      <c r="R571">
        <v>526.69000000000005</v>
      </c>
      <c r="S571" t="s">
        <v>39</v>
      </c>
      <c r="T571">
        <v>820.05543167753615</v>
      </c>
      <c r="U571">
        <v>6317119.8600000003</v>
      </c>
      <c r="V571">
        <v>9835744.8475403693</v>
      </c>
      <c r="W571" t="s">
        <v>30</v>
      </c>
      <c r="X571" t="s">
        <v>765</v>
      </c>
      <c r="Y571" t="s">
        <v>782</v>
      </c>
      <c r="Z571" t="b">
        <v>0</v>
      </c>
      <c r="AA571" t="s">
        <v>44</v>
      </c>
      <c r="AB571" t="s">
        <v>45</v>
      </c>
      <c r="AC571" t="s">
        <v>771</v>
      </c>
    </row>
    <row r="572" spans="2:29" x14ac:dyDescent="0.35">
      <c r="B572" t="s">
        <v>783</v>
      </c>
      <c r="C572">
        <v>197.09</v>
      </c>
      <c r="D572" t="s">
        <v>39</v>
      </c>
      <c r="E572" s="10">
        <v>306.86879384329603</v>
      </c>
      <c r="F572" t="s">
        <v>30</v>
      </c>
      <c r="G572" s="14">
        <v>46082</v>
      </c>
      <c r="H572">
        <v>1546</v>
      </c>
      <c r="I572">
        <v>304701.14</v>
      </c>
      <c r="J572">
        <v>3388.0282886144</v>
      </c>
      <c r="K572" t="s">
        <v>763</v>
      </c>
      <c r="L572" s="9" t="s">
        <v>764</v>
      </c>
      <c r="M572" t="s">
        <v>50</v>
      </c>
      <c r="N572" s="12">
        <v>1103.771660883104</v>
      </c>
      <c r="O572" s="13">
        <v>3.5968846719772687</v>
      </c>
      <c r="P572" s="9" t="s">
        <v>783</v>
      </c>
      <c r="Q572">
        <v>906</v>
      </c>
      <c r="R572">
        <v>906</v>
      </c>
      <c r="S572" t="s">
        <v>39</v>
      </c>
      <c r="T572">
        <v>1410.6404547264001</v>
      </c>
      <c r="U572">
        <v>4297158</v>
      </c>
      <c r="V572">
        <v>6690667.6767673157</v>
      </c>
      <c r="W572" t="s">
        <v>30</v>
      </c>
      <c r="X572" t="s">
        <v>765</v>
      </c>
      <c r="Y572" t="s">
        <v>784</v>
      </c>
      <c r="Z572" t="b">
        <v>0</v>
      </c>
      <c r="AA572" t="s">
        <v>44</v>
      </c>
      <c r="AB572" t="s">
        <v>45</v>
      </c>
      <c r="AC572" t="s">
        <v>245</v>
      </c>
    </row>
    <row r="573" spans="2:29" x14ac:dyDescent="0.35">
      <c r="B573" t="s">
        <v>785</v>
      </c>
      <c r="C573">
        <v>479.2</v>
      </c>
      <c r="D573" t="s">
        <v>39</v>
      </c>
      <c r="E573" s="10">
        <v>746.11358267647995</v>
      </c>
      <c r="F573" t="s">
        <v>30</v>
      </c>
      <c r="G573" s="14">
        <v>46082</v>
      </c>
      <c r="H573">
        <v>5580</v>
      </c>
      <c r="I573">
        <v>2673936</v>
      </c>
      <c r="J573">
        <v>2117.517680384</v>
      </c>
      <c r="K573" t="s">
        <v>763</v>
      </c>
      <c r="L573" s="9" t="s">
        <v>764</v>
      </c>
      <c r="M573" t="s">
        <v>50</v>
      </c>
      <c r="N573" s="12">
        <v>532.18201702592012</v>
      </c>
      <c r="O573" s="13">
        <v>0.71327212020033415</v>
      </c>
      <c r="P573" s="9" t="s">
        <v>785</v>
      </c>
      <c r="Q573">
        <v>821</v>
      </c>
      <c r="R573">
        <v>821</v>
      </c>
      <c r="S573" t="s">
        <v>39</v>
      </c>
      <c r="T573">
        <v>1278.2955997024001</v>
      </c>
      <c r="U573">
        <v>4676416</v>
      </c>
      <c r="V573">
        <v>7281171.7359048706</v>
      </c>
      <c r="W573" t="s">
        <v>30</v>
      </c>
      <c r="X573" t="s">
        <v>765</v>
      </c>
      <c r="Y573" t="s">
        <v>786</v>
      </c>
      <c r="Z573" t="b">
        <v>0</v>
      </c>
      <c r="AA573" t="s">
        <v>44</v>
      </c>
      <c r="AB573" t="s">
        <v>45</v>
      </c>
      <c r="AC573" t="s">
        <v>245</v>
      </c>
    </row>
    <row r="574" spans="2:29" x14ac:dyDescent="0.35">
      <c r="B574" t="s">
        <v>787</v>
      </c>
      <c r="C574">
        <v>18.329999999999998</v>
      </c>
      <c r="D574" t="s">
        <v>39</v>
      </c>
      <c r="E574" s="10">
        <v>28.539778736351998</v>
      </c>
      <c r="F574" t="s">
        <v>30</v>
      </c>
      <c r="G574" s="14">
        <v>46082</v>
      </c>
      <c r="H574">
        <v>1437</v>
      </c>
      <c r="I574">
        <v>26340.21</v>
      </c>
      <c r="J574">
        <v>37178.628073000997</v>
      </c>
      <c r="K574" t="s">
        <v>763</v>
      </c>
      <c r="L574" s="9" t="s">
        <v>764</v>
      </c>
      <c r="M574" t="s">
        <v>50</v>
      </c>
      <c r="N574" s="12">
        <v>230.13991789526398</v>
      </c>
      <c r="O574" s="13">
        <v>8.0638297872340416</v>
      </c>
      <c r="P574" s="9" t="s">
        <v>787</v>
      </c>
      <c r="Q574">
        <v>166.14</v>
      </c>
      <c r="R574">
        <v>166.14</v>
      </c>
      <c r="S574" t="s">
        <v>39</v>
      </c>
      <c r="T574">
        <v>258.67969663161597</v>
      </c>
      <c r="U574">
        <v>3267309.2399999998</v>
      </c>
      <c r="V574">
        <v>5087194.9139573593</v>
      </c>
      <c r="W574" t="s">
        <v>30</v>
      </c>
      <c r="X574" t="s">
        <v>765</v>
      </c>
      <c r="Y574" t="s">
        <v>788</v>
      </c>
      <c r="Z574" t="b">
        <v>0</v>
      </c>
      <c r="AA574" t="s">
        <v>44</v>
      </c>
      <c r="AB574" t="s">
        <v>45</v>
      </c>
      <c r="AC574" t="s">
        <v>245</v>
      </c>
    </row>
    <row r="575" spans="2:29" x14ac:dyDescent="0.35">
      <c r="B575" t="s">
        <v>789</v>
      </c>
      <c r="C575">
        <v>757.78</v>
      </c>
      <c r="D575" t="s">
        <v>39</v>
      </c>
      <c r="E575" s="10">
        <v>1179.8621675304321</v>
      </c>
      <c r="F575" t="s">
        <v>30</v>
      </c>
      <c r="G575" s="14">
        <v>46082</v>
      </c>
      <c r="H575">
        <v>18146</v>
      </c>
      <c r="I575">
        <v>13750675.879999999</v>
      </c>
      <c r="J575">
        <v>3505.5816598416</v>
      </c>
      <c r="K575" t="s">
        <v>763</v>
      </c>
      <c r="L575" s="9" t="s">
        <v>764</v>
      </c>
      <c r="M575" t="s">
        <v>50</v>
      </c>
      <c r="N575" s="12">
        <v>787.82556698345616</v>
      </c>
      <c r="O575" s="13">
        <v>0.66772678085988024</v>
      </c>
      <c r="P575" s="9" t="s">
        <v>789</v>
      </c>
      <c r="Q575">
        <v>251.79</v>
      </c>
      <c r="R575">
        <v>251.79</v>
      </c>
      <c r="S575" t="s">
        <v>39</v>
      </c>
      <c r="T575">
        <v>392.03660054697599</v>
      </c>
      <c r="U575">
        <v>1895726.91</v>
      </c>
      <c r="V575">
        <v>2951643.5655181822</v>
      </c>
      <c r="W575" t="s">
        <v>30</v>
      </c>
      <c r="X575" t="s">
        <v>765</v>
      </c>
      <c r="Y575" t="s">
        <v>790</v>
      </c>
      <c r="Z575" t="b">
        <v>0</v>
      </c>
      <c r="AA575" t="s">
        <v>44</v>
      </c>
      <c r="AB575" t="s">
        <v>45</v>
      </c>
      <c r="AC575" t="s">
        <v>245</v>
      </c>
    </row>
    <row r="576" spans="2:29" x14ac:dyDescent="0.35">
      <c r="B576" t="s">
        <v>791</v>
      </c>
      <c r="C576">
        <v>261.3</v>
      </c>
      <c r="D576" t="s">
        <v>39</v>
      </c>
      <c r="E576" s="10">
        <v>406.84365432672001</v>
      </c>
      <c r="F576" t="s">
        <v>30</v>
      </c>
      <c r="G576" s="14">
        <v>46082</v>
      </c>
      <c r="H576">
        <v>13248</v>
      </c>
      <c r="I576">
        <v>3461702.4000000004</v>
      </c>
      <c r="J576">
        <v>4868.7336665887997</v>
      </c>
      <c r="K576" t="s">
        <v>763</v>
      </c>
      <c r="L576" s="9" t="s">
        <v>764</v>
      </c>
      <c r="M576" t="s">
        <v>50</v>
      </c>
      <c r="N576" s="12">
        <v>65.39392836479999</v>
      </c>
      <c r="O576" s="13">
        <v>0.1607347876004592</v>
      </c>
      <c r="P576" s="9" t="s">
        <v>791</v>
      </c>
      <c r="Q576">
        <v>219.3</v>
      </c>
      <c r="R576">
        <v>219.3</v>
      </c>
      <c r="S576" t="s">
        <v>39</v>
      </c>
      <c r="T576">
        <v>341.44972596192002</v>
      </c>
      <c r="U576">
        <v>4133585.7</v>
      </c>
      <c r="V576">
        <v>6435985.8846562309</v>
      </c>
      <c r="W576" t="s">
        <v>30</v>
      </c>
      <c r="X576" t="s">
        <v>765</v>
      </c>
      <c r="Y576" t="s">
        <v>792</v>
      </c>
      <c r="Z576" t="b">
        <v>0</v>
      </c>
      <c r="AA576" t="s">
        <v>44</v>
      </c>
      <c r="AB576" t="s">
        <v>45</v>
      </c>
      <c r="AC576" t="s">
        <v>771</v>
      </c>
    </row>
    <row r="577" spans="2:29" x14ac:dyDescent="0.35">
      <c r="B577" t="s">
        <v>793</v>
      </c>
      <c r="C577">
        <v>836.52</v>
      </c>
      <c r="D577" t="s">
        <v>39</v>
      </c>
      <c r="E577" s="10">
        <v>1302.4602132314881</v>
      </c>
      <c r="F577" t="s">
        <v>30</v>
      </c>
      <c r="G577" s="14">
        <v>46082</v>
      </c>
      <c r="H577">
        <v>13051</v>
      </c>
      <c r="I577">
        <v>10917422.52</v>
      </c>
      <c r="J577">
        <v>12427.6489862419</v>
      </c>
      <c r="K577" t="s">
        <v>763</v>
      </c>
      <c r="L577" s="9" t="s">
        <v>764</v>
      </c>
      <c r="M577" t="s">
        <v>50</v>
      </c>
      <c r="N577" s="12">
        <v>231.52564637728005</v>
      </c>
      <c r="O577" s="13">
        <v>0.17776024482379385</v>
      </c>
      <c r="P577" s="9" t="s">
        <v>793</v>
      </c>
      <c r="Q577">
        <v>985.22</v>
      </c>
      <c r="R577">
        <v>985.22</v>
      </c>
      <c r="S577" t="s">
        <v>39</v>
      </c>
      <c r="T577">
        <v>1533.9858596087681</v>
      </c>
      <c r="U577">
        <v>6694569.9000000004</v>
      </c>
      <c r="V577">
        <v>10423433.916041579</v>
      </c>
      <c r="W577" t="s">
        <v>30</v>
      </c>
      <c r="X577" t="s">
        <v>765</v>
      </c>
      <c r="Y577" t="s">
        <v>794</v>
      </c>
      <c r="Z577" t="b">
        <v>0</v>
      </c>
      <c r="AA577" t="s">
        <v>44</v>
      </c>
      <c r="AB577" t="s">
        <v>45</v>
      </c>
      <c r="AC577" t="s">
        <v>771</v>
      </c>
    </row>
    <row r="578" spans="2:29" x14ac:dyDescent="0.35">
      <c r="B578" t="s">
        <v>795</v>
      </c>
      <c r="C578">
        <v>327.49</v>
      </c>
      <c r="D578" t="s">
        <v>39</v>
      </c>
      <c r="E578" s="10">
        <v>509.901371433056</v>
      </c>
      <c r="F578" t="s">
        <v>30</v>
      </c>
      <c r="G578" s="14">
        <v>46082</v>
      </c>
      <c r="H578">
        <v>15951</v>
      </c>
      <c r="I578">
        <v>5223792.99</v>
      </c>
      <c r="J578">
        <v>22842.721977142399</v>
      </c>
      <c r="K578" t="s">
        <v>763</v>
      </c>
      <c r="L578" s="9" t="s">
        <v>764</v>
      </c>
      <c r="M578" t="s">
        <v>50</v>
      </c>
      <c r="N578" s="12">
        <v>265.76403887113605</v>
      </c>
      <c r="O578" s="13">
        <v>0.52120675440471476</v>
      </c>
      <c r="P578" s="9" t="s">
        <v>795</v>
      </c>
      <c r="Q578">
        <v>498.18</v>
      </c>
      <c r="R578">
        <v>498.18</v>
      </c>
      <c r="S578" t="s">
        <v>39</v>
      </c>
      <c r="T578">
        <v>775.66541030419205</v>
      </c>
      <c r="U578">
        <v>4429318.38</v>
      </c>
      <c r="V578">
        <v>6896441.1630145712</v>
      </c>
      <c r="W578" t="s">
        <v>30</v>
      </c>
      <c r="X578" t="s">
        <v>765</v>
      </c>
      <c r="Y578" t="s">
        <v>796</v>
      </c>
      <c r="Z578" t="b">
        <v>0</v>
      </c>
      <c r="AA578" t="s">
        <v>44</v>
      </c>
      <c r="AB578" t="s">
        <v>45</v>
      </c>
      <c r="AC578" t="s">
        <v>245</v>
      </c>
    </row>
    <row r="579" spans="2:29" x14ac:dyDescent="0.35">
      <c r="B579" t="s">
        <v>797</v>
      </c>
      <c r="C579">
        <v>218.51</v>
      </c>
      <c r="D579" t="s">
        <v>39</v>
      </c>
      <c r="E579" s="10">
        <v>340.21969730934399</v>
      </c>
      <c r="F579" t="s">
        <v>30</v>
      </c>
      <c r="G579" s="14">
        <v>46082</v>
      </c>
      <c r="H579">
        <v>12145</v>
      </c>
      <c r="I579">
        <v>2653803.9499999997</v>
      </c>
      <c r="J579">
        <v>7157.8325590156801</v>
      </c>
      <c r="K579" t="s">
        <v>763</v>
      </c>
      <c r="L579" s="9" t="s">
        <v>764</v>
      </c>
      <c r="M579" t="s">
        <v>50</v>
      </c>
      <c r="N579" s="12">
        <v>1108.7851953910722</v>
      </c>
      <c r="O579" s="13">
        <v>3.2590270468170801</v>
      </c>
      <c r="P579" s="9" t="s">
        <v>797</v>
      </c>
      <c r="Q579">
        <v>930.64</v>
      </c>
      <c r="R579">
        <v>930.64</v>
      </c>
      <c r="S579" t="s">
        <v>39</v>
      </c>
      <c r="T579">
        <v>1449.0048927004161</v>
      </c>
      <c r="U579">
        <v>16114962.24</v>
      </c>
      <c r="V579">
        <v>25090968.722000405</v>
      </c>
      <c r="W579" t="s">
        <v>30</v>
      </c>
      <c r="X579" t="s">
        <v>765</v>
      </c>
      <c r="Y579" t="s">
        <v>798</v>
      </c>
      <c r="Z579" t="b">
        <v>0</v>
      </c>
      <c r="AA579" t="s">
        <v>44</v>
      </c>
      <c r="AB579" t="s">
        <v>45</v>
      </c>
      <c r="AC579" t="s">
        <v>771</v>
      </c>
    </row>
    <row r="580" spans="2:29" x14ac:dyDescent="0.35">
      <c r="B580" t="s">
        <v>799</v>
      </c>
      <c r="C580">
        <v>715.65</v>
      </c>
      <c r="D580" t="s">
        <v>39</v>
      </c>
      <c r="E580" s="10">
        <v>1114.2658293873601</v>
      </c>
      <c r="F580" t="s">
        <v>30</v>
      </c>
      <c r="G580" s="14">
        <v>46082</v>
      </c>
      <c r="H580">
        <v>9943</v>
      </c>
      <c r="I580">
        <v>7115707.9500000002</v>
      </c>
      <c r="J580">
        <v>8347.0678562783996</v>
      </c>
      <c r="K580" t="s">
        <v>763</v>
      </c>
      <c r="L580" s="9" t="s">
        <v>764</v>
      </c>
      <c r="M580" t="s">
        <v>50</v>
      </c>
      <c r="N580" s="12">
        <v>746.17586260825601</v>
      </c>
      <c r="O580" s="13">
        <v>0.66965695521553825</v>
      </c>
      <c r="P580" s="9" t="s">
        <v>799</v>
      </c>
      <c r="Q580">
        <v>236.41</v>
      </c>
      <c r="R580">
        <v>236.41</v>
      </c>
      <c r="S580" t="s">
        <v>39</v>
      </c>
      <c r="T580">
        <v>368.08996677910403</v>
      </c>
      <c r="U580">
        <v>2312562.62</v>
      </c>
      <c r="V580">
        <v>3600656.0550331958</v>
      </c>
      <c r="W580" t="s">
        <v>30</v>
      </c>
      <c r="X580" t="s">
        <v>765</v>
      </c>
      <c r="Y580" t="s">
        <v>800</v>
      </c>
      <c r="Z580" t="b">
        <v>0</v>
      </c>
      <c r="AA580" t="s">
        <v>44</v>
      </c>
      <c r="AB580" t="s">
        <v>45</v>
      </c>
      <c r="AC580" t="s">
        <v>245</v>
      </c>
    </row>
    <row r="581" spans="2:29" x14ac:dyDescent="0.35">
      <c r="B581" t="s">
        <v>801</v>
      </c>
      <c r="C581">
        <v>356.77</v>
      </c>
      <c r="D581" t="s">
        <v>39</v>
      </c>
      <c r="E581" s="10">
        <v>555.49028149308799</v>
      </c>
      <c r="F581" t="s">
        <v>30</v>
      </c>
      <c r="G581" s="14">
        <v>46082</v>
      </c>
      <c r="H581">
        <v>6039</v>
      </c>
      <c r="I581">
        <v>2154534.0299999998</v>
      </c>
      <c r="J581">
        <v>339.11422852032001</v>
      </c>
      <c r="K581" t="s">
        <v>763</v>
      </c>
      <c r="L581" s="9" t="s">
        <v>764</v>
      </c>
      <c r="M581" t="s">
        <v>50</v>
      </c>
      <c r="N581" s="12">
        <v>878.19374799043192</v>
      </c>
      <c r="O581" s="13">
        <v>1.5809344956134204</v>
      </c>
      <c r="P581" s="9" t="s">
        <v>801</v>
      </c>
      <c r="Q581">
        <v>920.8</v>
      </c>
      <c r="R581">
        <v>920.8</v>
      </c>
      <c r="S581" t="s">
        <v>39</v>
      </c>
      <c r="T581">
        <v>1433.6840294835199</v>
      </c>
      <c r="U581">
        <v>2454852.7999999998</v>
      </c>
      <c r="V581">
        <v>3822201.6226030639</v>
      </c>
      <c r="W581" t="s">
        <v>30</v>
      </c>
      <c r="X581" t="s">
        <v>765</v>
      </c>
      <c r="Y581" t="s">
        <v>802</v>
      </c>
      <c r="Z581" t="b">
        <v>0</v>
      </c>
      <c r="AA581" t="s">
        <v>44</v>
      </c>
      <c r="AB581" t="s">
        <v>45</v>
      </c>
      <c r="AC581" t="s">
        <v>245</v>
      </c>
    </row>
    <row r="582" spans="2:29" x14ac:dyDescent="0.35">
      <c r="B582" t="s">
        <v>801</v>
      </c>
      <c r="C582">
        <v>801.34</v>
      </c>
      <c r="D582" t="s">
        <v>39</v>
      </c>
      <c r="E582" s="10">
        <v>1247.6850132344962</v>
      </c>
      <c r="F582" t="s">
        <v>30</v>
      </c>
      <c r="G582" s="14">
        <v>46082</v>
      </c>
      <c r="H582">
        <v>4544</v>
      </c>
      <c r="I582">
        <v>3641288.96</v>
      </c>
      <c r="J582">
        <v>4069.3707422438401</v>
      </c>
      <c r="K582" t="s">
        <v>763</v>
      </c>
      <c r="L582" s="9" t="s">
        <v>764</v>
      </c>
      <c r="M582" t="s">
        <v>50</v>
      </c>
      <c r="N582" s="12">
        <v>396.7543053790082</v>
      </c>
      <c r="O582" s="13">
        <v>0.31799236279232296</v>
      </c>
      <c r="P582" s="9" t="s">
        <v>801</v>
      </c>
      <c r="Q582">
        <v>546.52</v>
      </c>
      <c r="R582">
        <v>546.52</v>
      </c>
      <c r="S582" t="s">
        <v>39</v>
      </c>
      <c r="T582">
        <v>850.93070785548798</v>
      </c>
      <c r="U582">
        <v>7361624.3999999994</v>
      </c>
      <c r="V582">
        <v>11462036.634813422</v>
      </c>
      <c r="W582" t="s">
        <v>30</v>
      </c>
      <c r="X582" t="s">
        <v>765</v>
      </c>
      <c r="Y582" t="s">
        <v>802</v>
      </c>
      <c r="Z582" t="b">
        <v>0</v>
      </c>
      <c r="AA582" t="s">
        <v>44</v>
      </c>
      <c r="AB582" t="s">
        <v>45</v>
      </c>
      <c r="AC582" t="s">
        <v>245</v>
      </c>
    </row>
    <row r="583" spans="2:29" x14ac:dyDescent="0.35">
      <c r="B583" t="s">
        <v>803</v>
      </c>
      <c r="C583">
        <v>247.89</v>
      </c>
      <c r="D583" t="s">
        <v>39</v>
      </c>
      <c r="E583" s="10">
        <v>385.96430719881602</v>
      </c>
      <c r="F583" t="s">
        <v>30</v>
      </c>
      <c r="G583" s="14">
        <v>46082</v>
      </c>
      <c r="H583">
        <v>12558</v>
      </c>
      <c r="I583">
        <v>3113002.6199999996</v>
      </c>
      <c r="J583">
        <v>1624.8834200358399</v>
      </c>
      <c r="K583" t="s">
        <v>763</v>
      </c>
      <c r="L583" s="9" t="s">
        <v>764</v>
      </c>
      <c r="M583" t="s">
        <v>50</v>
      </c>
      <c r="N583" s="12">
        <v>1086.815949457088</v>
      </c>
      <c r="O583" s="13">
        <v>2.8158457380289641</v>
      </c>
      <c r="P583" s="9" t="s">
        <v>803</v>
      </c>
      <c r="Q583">
        <v>945.91</v>
      </c>
      <c r="R583">
        <v>945.91</v>
      </c>
      <c r="S583" t="s">
        <v>39</v>
      </c>
      <c r="T583">
        <v>1472.7802566559039</v>
      </c>
      <c r="U583">
        <v>6917439.8300000001</v>
      </c>
      <c r="V583">
        <v>10770442.016924625</v>
      </c>
      <c r="W583" t="s">
        <v>30</v>
      </c>
      <c r="X583" t="s">
        <v>765</v>
      </c>
      <c r="Y583" t="s">
        <v>804</v>
      </c>
      <c r="Z583" t="b">
        <v>0</v>
      </c>
      <c r="AB583" t="s">
        <v>45</v>
      </c>
      <c r="AC583" t="s">
        <v>771</v>
      </c>
    </row>
    <row r="584" spans="2:29" x14ac:dyDescent="0.35">
      <c r="B584" t="s">
        <v>805</v>
      </c>
      <c r="C584">
        <v>340.4</v>
      </c>
      <c r="D584" t="s">
        <v>179</v>
      </c>
      <c r="E584" s="10">
        <v>340.4</v>
      </c>
      <c r="F584" t="s">
        <v>30</v>
      </c>
      <c r="G584" s="14">
        <v>46082</v>
      </c>
      <c r="H584">
        <v>5541</v>
      </c>
      <c r="I584">
        <v>1886156.4</v>
      </c>
      <c r="J584">
        <v>17441.599999999999</v>
      </c>
      <c r="K584" t="s">
        <v>806</v>
      </c>
      <c r="L584" s="9" t="s">
        <v>807</v>
      </c>
      <c r="M584" t="s">
        <v>33</v>
      </c>
      <c r="N584" s="12">
        <v>264.90115270454396</v>
      </c>
      <c r="O584" s="13">
        <v>0.77820550148220913</v>
      </c>
      <c r="P584" s="9" t="s">
        <v>805</v>
      </c>
      <c r="Q584">
        <v>48.49</v>
      </c>
      <c r="R584">
        <v>48.49</v>
      </c>
      <c r="S584" t="s">
        <v>39</v>
      </c>
      <c r="T584">
        <v>75.498847295456002</v>
      </c>
      <c r="U584">
        <v>153858.77000000002</v>
      </c>
      <c r="V584">
        <v>239557.84246848189</v>
      </c>
      <c r="W584" t="s">
        <v>30</v>
      </c>
      <c r="X584" t="s">
        <v>808</v>
      </c>
      <c r="Y584" t="s">
        <v>809</v>
      </c>
      <c r="Z584" t="b">
        <v>0</v>
      </c>
      <c r="AA584" t="s">
        <v>44</v>
      </c>
      <c r="AB584" t="s">
        <v>36</v>
      </c>
      <c r="AC584" t="s">
        <v>273</v>
      </c>
    </row>
    <row r="585" spans="2:29" x14ac:dyDescent="0.35">
      <c r="B585" t="s">
        <v>810</v>
      </c>
      <c r="C585">
        <v>9.06</v>
      </c>
      <c r="D585" t="s">
        <v>71</v>
      </c>
      <c r="E585" s="10">
        <v>100.83144644397001</v>
      </c>
      <c r="F585" t="s">
        <v>30</v>
      </c>
      <c r="G585" s="14">
        <v>46082</v>
      </c>
      <c r="H585">
        <v>17109</v>
      </c>
      <c r="I585">
        <v>155007.54</v>
      </c>
      <c r="J585">
        <v>1248.7073168889001</v>
      </c>
      <c r="K585" t="s">
        <v>811</v>
      </c>
      <c r="L585" s="9" t="s">
        <v>812</v>
      </c>
      <c r="M585" t="s">
        <v>50</v>
      </c>
      <c r="N585" s="12">
        <v>522.37269087257403</v>
      </c>
      <c r="O585" s="13">
        <v>5.1806525572639277</v>
      </c>
      <c r="P585" s="9" t="s">
        <v>810</v>
      </c>
      <c r="Q585">
        <v>400.26</v>
      </c>
      <c r="R585">
        <v>400.26</v>
      </c>
      <c r="S585" t="s">
        <v>39</v>
      </c>
      <c r="T585">
        <v>623.20413731654401</v>
      </c>
      <c r="U585">
        <v>192124.79999999999</v>
      </c>
      <c r="V585">
        <v>299137.9859119411</v>
      </c>
      <c r="W585" t="s">
        <v>30</v>
      </c>
      <c r="X585" t="s">
        <v>811</v>
      </c>
      <c r="Y585" t="s">
        <v>813</v>
      </c>
      <c r="Z585" t="b">
        <v>0</v>
      </c>
      <c r="AA585" t="s">
        <v>44</v>
      </c>
      <c r="AB585" t="s">
        <v>36</v>
      </c>
      <c r="AC585" t="s">
        <v>251</v>
      </c>
    </row>
    <row r="586" spans="2:29" x14ac:dyDescent="0.35">
      <c r="B586" t="s">
        <v>814</v>
      </c>
      <c r="C586">
        <v>443.25</v>
      </c>
      <c r="D586" t="s">
        <v>71</v>
      </c>
      <c r="E586" s="10">
        <v>4933.0616596346254</v>
      </c>
      <c r="F586" t="s">
        <v>30</v>
      </c>
      <c r="G586" s="14">
        <v>46082</v>
      </c>
      <c r="H586">
        <v>1313</v>
      </c>
      <c r="I586">
        <v>581987.25</v>
      </c>
      <c r="J586">
        <v>22071.625230428399</v>
      </c>
      <c r="K586" t="s">
        <v>811</v>
      </c>
      <c r="L586" s="9" t="s">
        <v>812</v>
      </c>
      <c r="M586" t="s">
        <v>50</v>
      </c>
      <c r="N586" s="12">
        <v>3953.6007425764174</v>
      </c>
      <c r="O586" s="13">
        <v>0.80144969095505825</v>
      </c>
      <c r="P586" s="9" t="s">
        <v>814</v>
      </c>
      <c r="Q586">
        <v>629.07000000000005</v>
      </c>
      <c r="R586">
        <v>629.07000000000005</v>
      </c>
      <c r="S586" t="s">
        <v>39</v>
      </c>
      <c r="T586">
        <v>979.46091705820811</v>
      </c>
      <c r="U586">
        <v>9297654.6000000015</v>
      </c>
      <c r="V586">
        <v>14476432.354120316</v>
      </c>
      <c r="W586" t="s">
        <v>30</v>
      </c>
      <c r="X586" t="s">
        <v>811</v>
      </c>
      <c r="Y586" t="s">
        <v>815</v>
      </c>
      <c r="Z586" t="b">
        <v>0</v>
      </c>
      <c r="AA586" t="s">
        <v>44</v>
      </c>
      <c r="AB586" t="s">
        <v>36</v>
      </c>
      <c r="AC586" t="s">
        <v>251</v>
      </c>
    </row>
    <row r="587" spans="2:29" x14ac:dyDescent="0.35">
      <c r="B587" t="s">
        <v>816</v>
      </c>
      <c r="C587">
        <v>300.95999999999998</v>
      </c>
      <c r="D587" t="s">
        <v>39</v>
      </c>
      <c r="E587" s="10">
        <v>468.59420668262396</v>
      </c>
      <c r="F587" t="s">
        <v>30</v>
      </c>
      <c r="G587" s="14">
        <v>46082</v>
      </c>
      <c r="H587">
        <v>17948</v>
      </c>
      <c r="I587">
        <v>5401630.0800000001</v>
      </c>
      <c r="J587">
        <v>10309.089673999</v>
      </c>
      <c r="K587" t="s">
        <v>817</v>
      </c>
      <c r="L587" s="9" t="s">
        <v>818</v>
      </c>
      <c r="M587" t="s">
        <v>42</v>
      </c>
      <c r="N587" s="12">
        <v>1040.1371405909761</v>
      </c>
      <c r="O587" s="13">
        <v>2.2196969696969702</v>
      </c>
      <c r="P587" s="9" t="s">
        <v>816</v>
      </c>
      <c r="Q587">
        <v>969</v>
      </c>
      <c r="R587">
        <v>969</v>
      </c>
      <c r="S587" t="s">
        <v>39</v>
      </c>
      <c r="T587">
        <v>1508.7313472736</v>
      </c>
      <c r="U587">
        <v>4112436</v>
      </c>
      <c r="V587">
        <v>6403055.8378291586</v>
      </c>
      <c r="W587" t="s">
        <v>30</v>
      </c>
      <c r="X587" t="s">
        <v>819</v>
      </c>
      <c r="Y587" t="s">
        <v>820</v>
      </c>
      <c r="Z587" t="b">
        <v>0</v>
      </c>
      <c r="AA587" t="s">
        <v>44</v>
      </c>
      <c r="AB587" t="s">
        <v>45</v>
      </c>
      <c r="AC587" t="s">
        <v>46</v>
      </c>
    </row>
    <row r="588" spans="2:29" x14ac:dyDescent="0.35">
      <c r="B588" t="s">
        <v>816</v>
      </c>
      <c r="C588">
        <v>429.15</v>
      </c>
      <c r="D588" t="s">
        <v>39</v>
      </c>
      <c r="E588" s="10">
        <v>668.18581804175994</v>
      </c>
      <c r="F588" t="s">
        <v>30</v>
      </c>
      <c r="G588" s="14">
        <v>46082</v>
      </c>
      <c r="H588">
        <v>4878</v>
      </c>
      <c r="I588">
        <v>2093393.7</v>
      </c>
      <c r="J588">
        <v>10309.089673999</v>
      </c>
      <c r="K588" t="s">
        <v>817</v>
      </c>
      <c r="L588" s="9" t="s">
        <v>818</v>
      </c>
      <c r="M588" t="s">
        <v>42</v>
      </c>
      <c r="N588" s="12">
        <v>455.06389150428794</v>
      </c>
      <c r="O588" s="13">
        <v>0.68104392403588487</v>
      </c>
      <c r="P588" s="9" t="s">
        <v>816</v>
      </c>
      <c r="Q588">
        <v>136.88</v>
      </c>
      <c r="R588">
        <v>136.88</v>
      </c>
      <c r="S588" t="s">
        <v>39</v>
      </c>
      <c r="T588">
        <v>213.12192653747201</v>
      </c>
      <c r="U588">
        <v>2463840</v>
      </c>
      <c r="V588">
        <v>3836194.6776744961</v>
      </c>
      <c r="W588" t="s">
        <v>30</v>
      </c>
      <c r="X588" t="s">
        <v>819</v>
      </c>
      <c r="Y588" t="s">
        <v>820</v>
      </c>
      <c r="Z588" t="b">
        <v>0</v>
      </c>
      <c r="AA588" t="s">
        <v>44</v>
      </c>
      <c r="AB588" t="s">
        <v>45</v>
      </c>
      <c r="AC588" t="s">
        <v>46</v>
      </c>
    </row>
    <row r="589" spans="2:29" x14ac:dyDescent="0.35">
      <c r="B589" t="s">
        <v>816</v>
      </c>
      <c r="C589">
        <v>67.67</v>
      </c>
      <c r="D589" t="s">
        <v>39</v>
      </c>
      <c r="E589" s="10">
        <v>105.36207458204801</v>
      </c>
      <c r="F589" t="s">
        <v>30</v>
      </c>
      <c r="G589" s="14">
        <v>46082</v>
      </c>
      <c r="H589">
        <v>7214</v>
      </c>
      <c r="I589">
        <v>488171.38</v>
      </c>
      <c r="J589">
        <v>3748.7598814541702</v>
      </c>
      <c r="K589" t="s">
        <v>817</v>
      </c>
      <c r="L589" s="9" t="s">
        <v>818</v>
      </c>
      <c r="M589" t="s">
        <v>42</v>
      </c>
      <c r="N589" s="12">
        <v>547.61187012342407</v>
      </c>
      <c r="O589" s="13">
        <v>5.1974286980936899</v>
      </c>
      <c r="P589" s="9" t="s">
        <v>816</v>
      </c>
      <c r="Q589">
        <v>419.38</v>
      </c>
      <c r="R589">
        <v>419.38</v>
      </c>
      <c r="S589" t="s">
        <v>39</v>
      </c>
      <c r="T589">
        <v>652.97394470547204</v>
      </c>
      <c r="U589">
        <v>3724513.78</v>
      </c>
      <c r="V589">
        <v>5799061.6029292969</v>
      </c>
      <c r="W589" t="s">
        <v>30</v>
      </c>
      <c r="X589" t="s">
        <v>819</v>
      </c>
      <c r="Y589" t="s">
        <v>820</v>
      </c>
      <c r="Z589" t="b">
        <v>0</v>
      </c>
      <c r="AA589" t="s">
        <v>44</v>
      </c>
      <c r="AB589" t="s">
        <v>45</v>
      </c>
      <c r="AC589" t="s">
        <v>46</v>
      </c>
    </row>
    <row r="590" spans="2:29" x14ac:dyDescent="0.35">
      <c r="B590" t="s">
        <v>821</v>
      </c>
      <c r="C590">
        <v>831.65</v>
      </c>
      <c r="D590" t="s">
        <v>39</v>
      </c>
      <c r="E590" s="10">
        <v>1294.87763153776</v>
      </c>
      <c r="F590" t="s">
        <v>30</v>
      </c>
      <c r="G590" s="14">
        <v>46082</v>
      </c>
      <c r="H590">
        <v>645</v>
      </c>
      <c r="I590">
        <v>536414.25</v>
      </c>
      <c r="J590">
        <v>77.912194651776005</v>
      </c>
      <c r="K590" t="s">
        <v>817</v>
      </c>
      <c r="L590" s="9" t="s">
        <v>818</v>
      </c>
      <c r="M590" t="s">
        <v>42</v>
      </c>
      <c r="N590" s="12">
        <v>140.98619555792015</v>
      </c>
      <c r="O590" s="13">
        <v>0.10887993747369699</v>
      </c>
      <c r="P590" s="9" t="s">
        <v>821</v>
      </c>
      <c r="Q590">
        <v>922.2</v>
      </c>
      <c r="R590">
        <v>922.2</v>
      </c>
      <c r="S590" t="s">
        <v>39</v>
      </c>
      <c r="T590">
        <v>1435.8638270956801</v>
      </c>
      <c r="U590">
        <v>1398977.4000000001</v>
      </c>
      <c r="V590">
        <v>2178205.4257041467</v>
      </c>
      <c r="W590" t="s">
        <v>30</v>
      </c>
      <c r="X590" t="s">
        <v>819</v>
      </c>
      <c r="Y590" t="s">
        <v>822</v>
      </c>
      <c r="Z590" t="b">
        <v>0</v>
      </c>
      <c r="AA590" t="s">
        <v>44</v>
      </c>
      <c r="AB590" t="s">
        <v>45</v>
      </c>
      <c r="AC590" t="s">
        <v>306</v>
      </c>
    </row>
    <row r="591" spans="2:29" x14ac:dyDescent="0.35">
      <c r="B591" t="s">
        <v>821</v>
      </c>
      <c r="C591">
        <v>260.67</v>
      </c>
      <c r="D591" t="s">
        <v>39</v>
      </c>
      <c r="E591" s="10">
        <v>405.86274540124805</v>
      </c>
      <c r="F591" t="s">
        <v>30</v>
      </c>
      <c r="G591" s="14">
        <v>46082</v>
      </c>
      <c r="H591">
        <v>7688</v>
      </c>
      <c r="I591">
        <v>2004030.9600000002</v>
      </c>
      <c r="J591">
        <v>-212.964202610249</v>
      </c>
      <c r="K591" t="s">
        <v>817</v>
      </c>
      <c r="L591" s="9" t="s">
        <v>818</v>
      </c>
      <c r="M591" t="s">
        <v>42</v>
      </c>
      <c r="N591" s="12">
        <v>206.14657417856003</v>
      </c>
      <c r="O591" s="13">
        <v>0.50792189358192352</v>
      </c>
      <c r="P591" s="9" t="s">
        <v>821</v>
      </c>
      <c r="Q591">
        <v>128.27000000000001</v>
      </c>
      <c r="R591">
        <v>128.27000000000001</v>
      </c>
      <c r="S591" t="s">
        <v>39</v>
      </c>
      <c r="T591">
        <v>199.71617122268802</v>
      </c>
      <c r="U591">
        <v>2545005.0700000003</v>
      </c>
      <c r="V591">
        <v>3962568.5532293529</v>
      </c>
      <c r="W591" t="s">
        <v>30</v>
      </c>
      <c r="X591" t="s">
        <v>819</v>
      </c>
      <c r="Y591" t="s">
        <v>822</v>
      </c>
      <c r="Z591" t="b">
        <v>0</v>
      </c>
      <c r="AA591" t="s">
        <v>44</v>
      </c>
      <c r="AB591" t="s">
        <v>45</v>
      </c>
      <c r="AC591" t="s">
        <v>306</v>
      </c>
    </row>
    <row r="592" spans="2:29" x14ac:dyDescent="0.35">
      <c r="B592" t="s">
        <v>821</v>
      </c>
      <c r="C592">
        <v>259.81</v>
      </c>
      <c r="D592" t="s">
        <v>39</v>
      </c>
      <c r="E592" s="10">
        <v>404.52372686806399</v>
      </c>
      <c r="F592" t="s">
        <v>30</v>
      </c>
      <c r="G592" s="14">
        <v>46082</v>
      </c>
      <c r="H592">
        <v>13805</v>
      </c>
      <c r="I592">
        <v>3586677.05</v>
      </c>
      <c r="J592">
        <v>5609.0726539910102</v>
      </c>
      <c r="K592" t="s">
        <v>817</v>
      </c>
      <c r="L592" s="9" t="s">
        <v>818</v>
      </c>
      <c r="M592" t="s">
        <v>42</v>
      </c>
      <c r="N592" s="12">
        <v>1008.2031055728321</v>
      </c>
      <c r="O592" s="13">
        <v>2.4923213117278014</v>
      </c>
      <c r="P592" s="9" t="s">
        <v>821</v>
      </c>
      <c r="Q592">
        <v>907.34</v>
      </c>
      <c r="R592">
        <v>907.34</v>
      </c>
      <c r="S592" t="s">
        <v>39</v>
      </c>
      <c r="T592">
        <v>1412.726832440896</v>
      </c>
      <c r="U592">
        <v>3628452.66</v>
      </c>
      <c r="V592">
        <v>5649494.6029311428</v>
      </c>
      <c r="W592" t="s">
        <v>30</v>
      </c>
      <c r="X592" t="s">
        <v>819</v>
      </c>
      <c r="Y592" t="s">
        <v>822</v>
      </c>
      <c r="Z592" t="b">
        <v>0</v>
      </c>
      <c r="AA592" t="s">
        <v>44</v>
      </c>
      <c r="AB592" t="s">
        <v>45</v>
      </c>
      <c r="AC592" t="s">
        <v>306</v>
      </c>
    </row>
    <row r="593" spans="2:29" x14ac:dyDescent="0.35">
      <c r="B593" t="s">
        <v>821</v>
      </c>
      <c r="C593">
        <v>777.37</v>
      </c>
      <c r="D593" t="s">
        <v>39</v>
      </c>
      <c r="E593" s="10">
        <v>1210.3637641177281</v>
      </c>
      <c r="F593" t="s">
        <v>30</v>
      </c>
      <c r="G593" s="14">
        <v>46082</v>
      </c>
      <c r="H593">
        <v>19720</v>
      </c>
      <c r="I593">
        <v>15329736.4</v>
      </c>
      <c r="J593">
        <v>3498.4481164559802</v>
      </c>
      <c r="K593" t="s">
        <v>817</v>
      </c>
      <c r="L593" s="9" t="s">
        <v>818</v>
      </c>
      <c r="M593" t="s">
        <v>42</v>
      </c>
      <c r="N593" s="12">
        <v>305.99687479843203</v>
      </c>
      <c r="O593" s="13">
        <v>0.25281397532706434</v>
      </c>
      <c r="P593" s="9" t="s">
        <v>821</v>
      </c>
      <c r="Q593">
        <v>580.84</v>
      </c>
      <c r="R593">
        <v>580.84</v>
      </c>
      <c r="S593" t="s">
        <v>39</v>
      </c>
      <c r="T593">
        <v>904.36688931929609</v>
      </c>
      <c r="U593">
        <v>11363553.76</v>
      </c>
      <c r="V593">
        <v>17693033.82264271</v>
      </c>
      <c r="W593" t="s">
        <v>30</v>
      </c>
      <c r="X593" t="s">
        <v>819</v>
      </c>
      <c r="Y593" t="s">
        <v>822</v>
      </c>
      <c r="Z593" t="b">
        <v>0</v>
      </c>
      <c r="AA593" t="s">
        <v>44</v>
      </c>
      <c r="AB593" t="s">
        <v>45</v>
      </c>
      <c r="AC593" t="s">
        <v>306</v>
      </c>
    </row>
    <row r="594" spans="2:29" x14ac:dyDescent="0.35">
      <c r="B594" t="s">
        <v>821</v>
      </c>
      <c r="C594">
        <v>682.84</v>
      </c>
      <c r="D594" t="s">
        <v>39</v>
      </c>
      <c r="E594" s="10">
        <v>1063.1807153480961</v>
      </c>
      <c r="F594" t="s">
        <v>30</v>
      </c>
      <c r="G594" s="14">
        <v>46082</v>
      </c>
      <c r="H594">
        <v>18690</v>
      </c>
      <c r="I594">
        <v>12762279.600000001</v>
      </c>
      <c r="J594">
        <v>11218.145307982</v>
      </c>
      <c r="K594" t="s">
        <v>817</v>
      </c>
      <c r="L594" s="9" t="s">
        <v>818</v>
      </c>
      <c r="M594" t="s">
        <v>42</v>
      </c>
      <c r="N594" s="12">
        <v>114.34595474073615</v>
      </c>
      <c r="O594" s="13">
        <v>0.1075508171753267</v>
      </c>
      <c r="P594" s="9" t="s">
        <v>821</v>
      </c>
      <c r="Q594">
        <v>609.4</v>
      </c>
      <c r="R594">
        <v>609.4</v>
      </c>
      <c r="S594" t="s">
        <v>39</v>
      </c>
      <c r="T594">
        <v>948.83476060735995</v>
      </c>
      <c r="U594">
        <v>156006.39999999999</v>
      </c>
      <c r="V594">
        <v>242901.69871548415</v>
      </c>
      <c r="W594" t="s">
        <v>30</v>
      </c>
      <c r="X594" t="s">
        <v>819</v>
      </c>
      <c r="Y594" t="s">
        <v>822</v>
      </c>
      <c r="Z594" t="b">
        <v>0</v>
      </c>
      <c r="AA594" t="s">
        <v>44</v>
      </c>
      <c r="AB594" t="s">
        <v>45</v>
      </c>
      <c r="AC594" t="s">
        <v>306</v>
      </c>
    </row>
    <row r="595" spans="2:29" x14ac:dyDescent="0.35">
      <c r="B595" t="s">
        <v>821</v>
      </c>
      <c r="C595">
        <v>443.36</v>
      </c>
      <c r="D595" t="s">
        <v>39</v>
      </c>
      <c r="E595" s="10">
        <v>690.31076380518402</v>
      </c>
      <c r="F595" t="s">
        <v>30</v>
      </c>
      <c r="G595" s="14">
        <v>46082</v>
      </c>
      <c r="H595">
        <v>18993</v>
      </c>
      <c r="I595">
        <v>8420736.4800000004</v>
      </c>
      <c r="J595">
        <v>3155.10336786994</v>
      </c>
      <c r="K595" t="s">
        <v>817</v>
      </c>
      <c r="L595" s="9" t="s">
        <v>818</v>
      </c>
      <c r="M595" t="s">
        <v>42</v>
      </c>
      <c r="N595" s="12">
        <v>36.169070378912011</v>
      </c>
      <c r="O595" s="13">
        <v>5.2395344640923866E-2</v>
      </c>
      <c r="P595" s="9" t="s">
        <v>821</v>
      </c>
      <c r="Q595">
        <v>466.59</v>
      </c>
      <c r="R595">
        <v>466.59</v>
      </c>
      <c r="S595" t="s">
        <v>39</v>
      </c>
      <c r="T595">
        <v>726.47983418409603</v>
      </c>
      <c r="U595">
        <v>7397784.4499999993</v>
      </c>
      <c r="V595">
        <v>11518337.770988842</v>
      </c>
      <c r="W595" t="s">
        <v>30</v>
      </c>
      <c r="X595" t="s">
        <v>819</v>
      </c>
      <c r="Y595" t="s">
        <v>822</v>
      </c>
      <c r="Z595" t="b">
        <v>0</v>
      </c>
      <c r="AA595" t="s">
        <v>44</v>
      </c>
      <c r="AB595" t="s">
        <v>45</v>
      </c>
      <c r="AC595" t="s">
        <v>306</v>
      </c>
    </row>
    <row r="596" spans="2:29" x14ac:dyDescent="0.35">
      <c r="B596" t="s">
        <v>821</v>
      </c>
      <c r="C596">
        <v>118</v>
      </c>
      <c r="D596" t="s">
        <v>39</v>
      </c>
      <c r="E596" s="10">
        <v>183.7257987392</v>
      </c>
      <c r="F596" t="s">
        <v>30</v>
      </c>
      <c r="G596" s="14">
        <v>46082</v>
      </c>
      <c r="H596">
        <v>19113</v>
      </c>
      <c r="I596">
        <v>2255334</v>
      </c>
      <c r="J596">
        <v>2453.9692861210701</v>
      </c>
      <c r="K596" t="s">
        <v>817</v>
      </c>
      <c r="L596" s="9" t="s">
        <v>818</v>
      </c>
      <c r="M596" t="s">
        <v>42</v>
      </c>
      <c r="N596" s="12">
        <v>137.95004888384</v>
      </c>
      <c r="O596" s="13">
        <v>0.75084745762711858</v>
      </c>
      <c r="P596" s="9" t="s">
        <v>821</v>
      </c>
      <c r="Q596">
        <v>206.6</v>
      </c>
      <c r="R596">
        <v>206.6</v>
      </c>
      <c r="S596" t="s">
        <v>39</v>
      </c>
      <c r="T596">
        <v>321.67584762304</v>
      </c>
      <c r="U596">
        <v>3046936.8</v>
      </c>
      <c r="V596">
        <v>4744075.4007445937</v>
      </c>
      <c r="W596" t="s">
        <v>30</v>
      </c>
      <c r="X596" t="s">
        <v>819</v>
      </c>
      <c r="Y596" t="s">
        <v>822</v>
      </c>
      <c r="Z596" t="b">
        <v>0</v>
      </c>
      <c r="AA596" t="s">
        <v>44</v>
      </c>
      <c r="AB596" t="s">
        <v>45</v>
      </c>
      <c r="AC596" t="s">
        <v>306</v>
      </c>
    </row>
    <row r="597" spans="2:29" x14ac:dyDescent="0.35">
      <c r="B597" t="s">
        <v>821</v>
      </c>
      <c r="C597">
        <v>563.54999999999995</v>
      </c>
      <c r="D597" t="s">
        <v>39</v>
      </c>
      <c r="E597" s="10">
        <v>877.44638880911998</v>
      </c>
      <c r="F597" t="s">
        <v>30</v>
      </c>
      <c r="G597" s="14">
        <v>46082</v>
      </c>
      <c r="H597">
        <v>5368</v>
      </c>
      <c r="I597">
        <v>3025136.4</v>
      </c>
      <c r="J597">
        <v>9984.6686826830701</v>
      </c>
      <c r="K597" t="s">
        <v>817</v>
      </c>
      <c r="L597" s="9" t="s">
        <v>818</v>
      </c>
      <c r="M597" t="s">
        <v>42</v>
      </c>
      <c r="N597" s="12">
        <v>690.21734390751999</v>
      </c>
      <c r="O597" s="13">
        <v>0.78662053056516723</v>
      </c>
      <c r="P597" s="9" t="s">
        <v>821</v>
      </c>
      <c r="Q597">
        <v>120.25</v>
      </c>
      <c r="R597">
        <v>120.25</v>
      </c>
      <c r="S597" t="s">
        <v>39</v>
      </c>
      <c r="T597">
        <v>187.22904490159999</v>
      </c>
      <c r="U597">
        <v>1358223.75</v>
      </c>
      <c r="V597">
        <v>2114752.0621635718</v>
      </c>
      <c r="W597" t="s">
        <v>30</v>
      </c>
      <c r="X597" t="s">
        <v>819</v>
      </c>
      <c r="Y597" t="s">
        <v>822</v>
      </c>
      <c r="Z597" t="b">
        <v>0</v>
      </c>
      <c r="AA597" t="s">
        <v>44</v>
      </c>
      <c r="AB597" t="s">
        <v>45</v>
      </c>
      <c r="AC597" t="s">
        <v>306</v>
      </c>
    </row>
    <row r="598" spans="2:29" x14ac:dyDescent="0.35">
      <c r="B598" t="s">
        <v>821</v>
      </c>
      <c r="C598">
        <v>579.51</v>
      </c>
      <c r="D598" t="s">
        <v>39</v>
      </c>
      <c r="E598" s="10">
        <v>902.29608158774397</v>
      </c>
      <c r="F598" t="s">
        <v>30</v>
      </c>
      <c r="G598" s="14">
        <v>46082</v>
      </c>
      <c r="H598">
        <v>10502</v>
      </c>
      <c r="I598">
        <v>6086014.0199999996</v>
      </c>
      <c r="J598">
        <v>9997.6526471599009</v>
      </c>
      <c r="K598" t="s">
        <v>817</v>
      </c>
      <c r="L598" s="9" t="s">
        <v>818</v>
      </c>
      <c r="M598" t="s">
        <v>42</v>
      </c>
      <c r="N598" s="12">
        <v>454.75249184540814</v>
      </c>
      <c r="O598" s="13">
        <v>0.50399475418888384</v>
      </c>
      <c r="P598" s="9" t="s">
        <v>821</v>
      </c>
      <c r="Q598">
        <v>871.58</v>
      </c>
      <c r="R598">
        <v>871.58</v>
      </c>
      <c r="S598" t="s">
        <v>39</v>
      </c>
      <c r="T598">
        <v>1357.0485734331521</v>
      </c>
      <c r="U598">
        <v>15212557.32</v>
      </c>
      <c r="V598">
        <v>23685925.800702237</v>
      </c>
      <c r="W598" t="s">
        <v>30</v>
      </c>
      <c r="X598" t="s">
        <v>819</v>
      </c>
      <c r="Y598" t="s">
        <v>822</v>
      </c>
      <c r="Z598" t="b">
        <v>0</v>
      </c>
      <c r="AA598" t="s">
        <v>44</v>
      </c>
      <c r="AB598" t="s">
        <v>45</v>
      </c>
      <c r="AC598" t="s">
        <v>306</v>
      </c>
    </row>
    <row r="599" spans="2:29" x14ac:dyDescent="0.35">
      <c r="B599" t="s">
        <v>821</v>
      </c>
      <c r="C599">
        <v>54.44</v>
      </c>
      <c r="D599" t="s">
        <v>39</v>
      </c>
      <c r="E599" s="10">
        <v>84.762987147136002</v>
      </c>
      <c r="F599" t="s">
        <v>30</v>
      </c>
      <c r="G599" s="14">
        <v>46082</v>
      </c>
      <c r="H599">
        <v>7225</v>
      </c>
      <c r="I599">
        <v>393329</v>
      </c>
      <c r="J599">
        <v>14373.248675852001</v>
      </c>
      <c r="K599" t="s">
        <v>817</v>
      </c>
      <c r="L599" s="9" t="s">
        <v>818</v>
      </c>
      <c r="M599" t="s">
        <v>42</v>
      </c>
      <c r="N599" s="12">
        <v>164.23218009331197</v>
      </c>
      <c r="O599" s="13">
        <v>1.9375459221160907</v>
      </c>
      <c r="P599" s="9" t="s">
        <v>821</v>
      </c>
      <c r="Q599">
        <v>159.91999999999999</v>
      </c>
      <c r="R599">
        <v>159.91999999999999</v>
      </c>
      <c r="S599" t="s">
        <v>39</v>
      </c>
      <c r="T599">
        <v>248.99516724044798</v>
      </c>
      <c r="U599">
        <v>2189304.7999999998</v>
      </c>
      <c r="V599">
        <v>3408743.8395217331</v>
      </c>
      <c r="W599" t="s">
        <v>30</v>
      </c>
      <c r="X599" t="s">
        <v>819</v>
      </c>
      <c r="Y599" t="s">
        <v>822</v>
      </c>
      <c r="Z599" t="b">
        <v>0</v>
      </c>
      <c r="AA599" t="s">
        <v>44</v>
      </c>
      <c r="AB599" t="s">
        <v>45</v>
      </c>
      <c r="AC599" t="s">
        <v>306</v>
      </c>
    </row>
    <row r="600" spans="2:29" x14ac:dyDescent="0.35">
      <c r="B600" t="s">
        <v>821</v>
      </c>
      <c r="C600">
        <v>729.25</v>
      </c>
      <c r="D600" t="s">
        <v>39</v>
      </c>
      <c r="E600" s="10">
        <v>1135.4410061912001</v>
      </c>
      <c r="F600" t="s">
        <v>30</v>
      </c>
      <c r="G600" s="14">
        <v>46082</v>
      </c>
      <c r="H600">
        <v>8529</v>
      </c>
      <c r="I600">
        <v>6219773.25</v>
      </c>
      <c r="J600">
        <v>5609.0726539910102</v>
      </c>
      <c r="K600" t="s">
        <v>817</v>
      </c>
      <c r="L600" s="9" t="s">
        <v>818</v>
      </c>
      <c r="M600" t="s">
        <v>42</v>
      </c>
      <c r="N600" s="12">
        <v>740.08799927715222</v>
      </c>
      <c r="O600" s="13">
        <v>0.65180665066849519</v>
      </c>
      <c r="P600" s="9" t="s">
        <v>821</v>
      </c>
      <c r="Q600">
        <v>253.92</v>
      </c>
      <c r="R600">
        <v>253.92</v>
      </c>
      <c r="S600" t="s">
        <v>39</v>
      </c>
      <c r="T600">
        <v>395.35300691404797</v>
      </c>
      <c r="U600">
        <v>1457754.72</v>
      </c>
      <c r="V600">
        <v>2269721.6126935496</v>
      </c>
      <c r="W600" t="s">
        <v>30</v>
      </c>
      <c r="X600" t="s">
        <v>819</v>
      </c>
      <c r="Y600" t="s">
        <v>822</v>
      </c>
      <c r="Z600" t="b">
        <v>0</v>
      </c>
      <c r="AA600" t="s">
        <v>44</v>
      </c>
      <c r="AB600" t="s">
        <v>45</v>
      </c>
      <c r="AC600" t="s">
        <v>306</v>
      </c>
    </row>
    <row r="601" spans="2:29" x14ac:dyDescent="0.35">
      <c r="B601" t="s">
        <v>821</v>
      </c>
      <c r="C601">
        <v>958.22</v>
      </c>
      <c r="D601" t="s">
        <v>39</v>
      </c>
      <c r="E601" s="10">
        <v>1491.946905659968</v>
      </c>
      <c r="F601" t="s">
        <v>30</v>
      </c>
      <c r="G601" s="14">
        <v>46082</v>
      </c>
      <c r="H601">
        <v>13174</v>
      </c>
      <c r="I601">
        <v>12623590.280000001</v>
      </c>
      <c r="J601">
        <v>11218.145307982</v>
      </c>
      <c r="K601" t="s">
        <v>817</v>
      </c>
      <c r="L601" s="9" t="s">
        <v>818</v>
      </c>
      <c r="M601" t="s">
        <v>42</v>
      </c>
      <c r="N601" s="12">
        <v>782.500632816608</v>
      </c>
      <c r="O601" s="13">
        <v>0.52448289536849579</v>
      </c>
      <c r="P601" s="9" t="s">
        <v>821</v>
      </c>
      <c r="Q601">
        <v>455.65</v>
      </c>
      <c r="R601">
        <v>455.65</v>
      </c>
      <c r="S601" t="s">
        <v>39</v>
      </c>
      <c r="T601">
        <v>709.44627284336002</v>
      </c>
      <c r="U601">
        <v>6587787.6999999993</v>
      </c>
      <c r="V601">
        <v>10257174.2127693</v>
      </c>
      <c r="W601" t="s">
        <v>30</v>
      </c>
      <c r="X601" t="s">
        <v>819</v>
      </c>
      <c r="Y601" t="s">
        <v>822</v>
      </c>
      <c r="Z601" t="b">
        <v>0</v>
      </c>
      <c r="AA601" t="s">
        <v>44</v>
      </c>
      <c r="AB601" t="s">
        <v>45</v>
      </c>
      <c r="AC601" t="s">
        <v>306</v>
      </c>
    </row>
    <row r="602" spans="2:29" x14ac:dyDescent="0.35">
      <c r="B602" t="s">
        <v>823</v>
      </c>
      <c r="C602">
        <v>292.97000000000003</v>
      </c>
      <c r="D602" t="s">
        <v>39</v>
      </c>
      <c r="E602" s="10">
        <v>456.15379031036804</v>
      </c>
      <c r="F602" t="s">
        <v>30</v>
      </c>
      <c r="G602" s="14">
        <v>46082</v>
      </c>
      <c r="H602">
        <v>14254</v>
      </c>
      <c r="I602">
        <v>4175994.3800000004</v>
      </c>
      <c r="J602">
        <v>7675.5812018525103</v>
      </c>
      <c r="K602" t="s">
        <v>817</v>
      </c>
      <c r="L602" s="9" t="s">
        <v>818</v>
      </c>
      <c r="M602" t="s">
        <v>42</v>
      </c>
      <c r="N602" s="12">
        <v>470.05778507936003</v>
      </c>
      <c r="O602" s="13">
        <v>1.0304809366146703</v>
      </c>
      <c r="P602" s="9" t="s">
        <v>823</v>
      </c>
      <c r="Q602">
        <v>594.87</v>
      </c>
      <c r="R602">
        <v>594.87</v>
      </c>
      <c r="S602" t="s">
        <v>39</v>
      </c>
      <c r="T602">
        <v>926.21157538972807</v>
      </c>
      <c r="U602">
        <v>8560774.1699999999</v>
      </c>
      <c r="V602">
        <v>13329110.781433577</v>
      </c>
      <c r="W602" t="s">
        <v>30</v>
      </c>
      <c r="X602" t="s">
        <v>819</v>
      </c>
      <c r="Y602" t="s">
        <v>824</v>
      </c>
      <c r="Z602" t="b">
        <v>0</v>
      </c>
      <c r="AA602" t="s">
        <v>44</v>
      </c>
      <c r="AB602" t="s">
        <v>45</v>
      </c>
      <c r="AC602" t="s">
        <v>158</v>
      </c>
    </row>
    <row r="603" spans="2:29" x14ac:dyDescent="0.35">
      <c r="B603" t="s">
        <v>823</v>
      </c>
      <c r="C603">
        <v>174.69</v>
      </c>
      <c r="D603" t="s">
        <v>39</v>
      </c>
      <c r="E603" s="10">
        <v>271.99203204873601</v>
      </c>
      <c r="F603" t="s">
        <v>30</v>
      </c>
      <c r="G603" s="14">
        <v>46082</v>
      </c>
      <c r="H603">
        <v>9657</v>
      </c>
      <c r="I603">
        <v>1686981.33</v>
      </c>
      <c r="J603">
        <v>46282.9227429819</v>
      </c>
      <c r="K603" t="s">
        <v>817</v>
      </c>
      <c r="L603" s="9" t="s">
        <v>818</v>
      </c>
      <c r="M603" t="s">
        <v>42</v>
      </c>
      <c r="N603" s="12">
        <v>499.14251321875196</v>
      </c>
      <c r="O603" s="13">
        <v>1.8351365275631115</v>
      </c>
      <c r="P603" s="9" t="s">
        <v>823</v>
      </c>
      <c r="Q603">
        <v>495.27</v>
      </c>
      <c r="R603">
        <v>495.27</v>
      </c>
      <c r="S603" t="s">
        <v>39</v>
      </c>
      <c r="T603">
        <v>771.13454526748797</v>
      </c>
      <c r="U603">
        <v>1725025.41</v>
      </c>
      <c r="V603">
        <v>2685861.6211666605</v>
      </c>
      <c r="W603" t="s">
        <v>30</v>
      </c>
      <c r="X603" t="s">
        <v>819</v>
      </c>
      <c r="Y603" t="s">
        <v>824</v>
      </c>
      <c r="Z603" t="b">
        <v>0</v>
      </c>
      <c r="AA603" t="s">
        <v>44</v>
      </c>
      <c r="AB603" t="s">
        <v>45</v>
      </c>
      <c r="AC603" t="s">
        <v>158</v>
      </c>
    </row>
    <row r="604" spans="2:29" x14ac:dyDescent="0.35">
      <c r="B604" t="s">
        <v>823</v>
      </c>
      <c r="C604">
        <v>262.08999999999997</v>
      </c>
      <c r="D604" t="s">
        <v>39</v>
      </c>
      <c r="E604" s="10">
        <v>408.073682979296</v>
      </c>
      <c r="F604" t="s">
        <v>30</v>
      </c>
      <c r="G604" s="14">
        <v>46082</v>
      </c>
      <c r="H604">
        <v>335</v>
      </c>
      <c r="I604">
        <v>87800.15</v>
      </c>
      <c r="J604">
        <v>43927.941647525098</v>
      </c>
      <c r="K604" t="s">
        <v>817</v>
      </c>
      <c r="L604" s="9" t="s">
        <v>818</v>
      </c>
      <c r="M604" t="s">
        <v>42</v>
      </c>
      <c r="N604" s="12">
        <v>1025.2522368965119</v>
      </c>
      <c r="O604" s="13">
        <v>2.5124193979167462</v>
      </c>
      <c r="P604" s="9" t="s">
        <v>823</v>
      </c>
      <c r="Q604">
        <v>920.57</v>
      </c>
      <c r="R604">
        <v>920.57</v>
      </c>
      <c r="S604" t="s">
        <v>39</v>
      </c>
      <c r="T604">
        <v>1433.325919875808</v>
      </c>
      <c r="U604">
        <v>3998035.5100000002</v>
      </c>
      <c r="V604">
        <v>6224934.4700206341</v>
      </c>
      <c r="W604" t="s">
        <v>30</v>
      </c>
      <c r="X604" t="s">
        <v>819</v>
      </c>
      <c r="Y604" t="s">
        <v>824</v>
      </c>
      <c r="Z604" t="b">
        <v>0</v>
      </c>
      <c r="AA604" t="s">
        <v>44</v>
      </c>
      <c r="AB604" t="s">
        <v>45</v>
      </c>
      <c r="AC604" t="s">
        <v>158</v>
      </c>
    </row>
    <row r="605" spans="2:29" x14ac:dyDescent="0.35">
      <c r="B605" t="s">
        <v>823</v>
      </c>
      <c r="C605">
        <v>907.44</v>
      </c>
      <c r="D605" t="s">
        <v>39</v>
      </c>
      <c r="E605" s="10">
        <v>1412.882532270336</v>
      </c>
      <c r="F605" t="s">
        <v>30</v>
      </c>
      <c r="G605" s="14">
        <v>46082</v>
      </c>
      <c r="H605">
        <v>15007</v>
      </c>
      <c r="I605">
        <v>13617952.08</v>
      </c>
      <c r="J605">
        <v>12753.2733815396</v>
      </c>
      <c r="K605" t="s">
        <v>817</v>
      </c>
      <c r="L605" s="9" t="s">
        <v>818</v>
      </c>
      <c r="M605" t="s">
        <v>42</v>
      </c>
      <c r="N605" s="12">
        <v>942.73132729331201</v>
      </c>
      <c r="O605" s="13">
        <v>0.66723970730847215</v>
      </c>
      <c r="P605" s="9" t="s">
        <v>823</v>
      </c>
      <c r="Q605">
        <v>301.95999999999998</v>
      </c>
      <c r="R605">
        <v>301.95999999999998</v>
      </c>
      <c r="S605" t="s">
        <v>39</v>
      </c>
      <c r="T605">
        <v>470.15120497702395</v>
      </c>
      <c r="U605">
        <v>1355800.4</v>
      </c>
      <c r="V605">
        <v>2110978.9103468377</v>
      </c>
      <c r="W605" t="s">
        <v>30</v>
      </c>
      <c r="X605" t="s">
        <v>819</v>
      </c>
      <c r="Y605" t="s">
        <v>824</v>
      </c>
      <c r="Z605" t="b">
        <v>0</v>
      </c>
      <c r="AA605" t="s">
        <v>44</v>
      </c>
      <c r="AB605" t="s">
        <v>45</v>
      </c>
      <c r="AC605" t="s">
        <v>158</v>
      </c>
    </row>
    <row r="606" spans="2:29" x14ac:dyDescent="0.35">
      <c r="B606" t="s">
        <v>823</v>
      </c>
      <c r="C606">
        <v>851.4</v>
      </c>
      <c r="D606" t="s">
        <v>39</v>
      </c>
      <c r="E606" s="10">
        <v>1325.62834785216</v>
      </c>
      <c r="F606" t="s">
        <v>30</v>
      </c>
      <c r="G606" s="14">
        <v>46082</v>
      </c>
      <c r="H606">
        <v>3245</v>
      </c>
      <c r="I606">
        <v>2762793</v>
      </c>
      <c r="J606">
        <v>53788.111345289501</v>
      </c>
      <c r="K606" t="s">
        <v>817</v>
      </c>
      <c r="L606" s="9" t="s">
        <v>818</v>
      </c>
      <c r="M606" t="s">
        <v>42</v>
      </c>
      <c r="N606" s="12">
        <v>1281.923405728352</v>
      </c>
      <c r="O606" s="13">
        <v>0.96703077284472638</v>
      </c>
      <c r="P606" s="9" t="s">
        <v>823</v>
      </c>
      <c r="Q606">
        <v>28.07</v>
      </c>
      <c r="R606">
        <v>28.07</v>
      </c>
      <c r="S606" t="s">
        <v>39</v>
      </c>
      <c r="T606">
        <v>43.704942123808003</v>
      </c>
      <c r="U606">
        <v>319324.32</v>
      </c>
      <c r="V606">
        <v>497187.42160043982</v>
      </c>
      <c r="W606" t="s">
        <v>30</v>
      </c>
      <c r="X606" t="s">
        <v>819</v>
      </c>
      <c r="Y606" t="s">
        <v>824</v>
      </c>
      <c r="Z606" t="b">
        <v>0</v>
      </c>
      <c r="AA606" t="s">
        <v>44</v>
      </c>
      <c r="AB606" t="s">
        <v>45</v>
      </c>
      <c r="AC606" t="s">
        <v>158</v>
      </c>
    </row>
    <row r="607" spans="2:29" x14ac:dyDescent="0.35">
      <c r="B607" t="s">
        <v>823</v>
      </c>
      <c r="C607">
        <v>367.03</v>
      </c>
      <c r="D607" t="s">
        <v>39</v>
      </c>
      <c r="E607" s="10">
        <v>571.46508399363199</v>
      </c>
      <c r="F607" t="s">
        <v>30</v>
      </c>
      <c r="G607" s="14">
        <v>46082</v>
      </c>
      <c r="H607">
        <v>12568</v>
      </c>
      <c r="I607">
        <v>4612833.04</v>
      </c>
      <c r="J607">
        <v>12861.381066914</v>
      </c>
      <c r="K607" t="s">
        <v>817</v>
      </c>
      <c r="L607" s="9" t="s">
        <v>818</v>
      </c>
      <c r="M607" t="s">
        <v>42</v>
      </c>
      <c r="N607" s="12">
        <v>376.12407797820799</v>
      </c>
      <c r="O607" s="13">
        <v>0.6581750810560445</v>
      </c>
      <c r="P607" s="9" t="s">
        <v>823</v>
      </c>
      <c r="Q607">
        <v>125.46</v>
      </c>
      <c r="R607">
        <v>125.46</v>
      </c>
      <c r="S607" t="s">
        <v>39</v>
      </c>
      <c r="T607">
        <v>195.341006015424</v>
      </c>
      <c r="U607">
        <v>2206214.1</v>
      </c>
      <c r="V607">
        <v>3435071.5907812309</v>
      </c>
      <c r="W607" t="s">
        <v>30</v>
      </c>
      <c r="X607" t="s">
        <v>819</v>
      </c>
      <c r="Y607" t="s">
        <v>824</v>
      </c>
      <c r="Z607" t="b">
        <v>0</v>
      </c>
      <c r="AA607" t="s">
        <v>44</v>
      </c>
      <c r="AB607" t="s">
        <v>45</v>
      </c>
      <c r="AC607" t="s">
        <v>158</v>
      </c>
    </row>
    <row r="608" spans="2:29" x14ac:dyDescent="0.35">
      <c r="B608" t="s">
        <v>823</v>
      </c>
      <c r="C608">
        <v>990.32</v>
      </c>
      <c r="D608" t="s">
        <v>39</v>
      </c>
      <c r="E608" s="10">
        <v>1541.9265509102081</v>
      </c>
      <c r="F608" t="s">
        <v>30</v>
      </c>
      <c r="G608" s="14">
        <v>46113</v>
      </c>
      <c r="H608">
        <v>5292</v>
      </c>
      <c r="I608">
        <v>5240773.4400000004</v>
      </c>
      <c r="J608">
        <v>39913.022249633097</v>
      </c>
      <c r="K608" t="s">
        <v>817</v>
      </c>
      <c r="L608" s="9" t="s">
        <v>818</v>
      </c>
      <c r="M608" t="s">
        <v>42</v>
      </c>
      <c r="N608" s="12">
        <v>164.8861193769601</v>
      </c>
      <c r="O608" s="13">
        <v>0.10693513207852012</v>
      </c>
      <c r="P608" s="9" t="s">
        <v>823</v>
      </c>
      <c r="Q608">
        <v>884.42</v>
      </c>
      <c r="R608">
        <v>884.42</v>
      </c>
      <c r="S608" t="s">
        <v>39</v>
      </c>
      <c r="T608">
        <v>1377.040431533248</v>
      </c>
      <c r="U608">
        <v>10276075.98</v>
      </c>
      <c r="V608">
        <v>15999832.773984808</v>
      </c>
      <c r="W608" t="s">
        <v>30</v>
      </c>
      <c r="X608" t="s">
        <v>819</v>
      </c>
      <c r="Y608" t="s">
        <v>824</v>
      </c>
      <c r="Z608" t="b">
        <v>0</v>
      </c>
      <c r="AA608" t="s">
        <v>44</v>
      </c>
      <c r="AB608" t="s">
        <v>45</v>
      </c>
      <c r="AC608" t="s">
        <v>158</v>
      </c>
    </row>
    <row r="609" spans="2:29" x14ac:dyDescent="0.35">
      <c r="B609" t="s">
        <v>823</v>
      </c>
      <c r="C609">
        <v>87.95</v>
      </c>
      <c r="D609" t="s">
        <v>39</v>
      </c>
      <c r="E609" s="10">
        <v>136.93799999248</v>
      </c>
      <c r="F609" t="s">
        <v>30</v>
      </c>
      <c r="G609" s="14">
        <v>46113</v>
      </c>
      <c r="H609">
        <v>18465</v>
      </c>
      <c r="I609">
        <v>1623996.75</v>
      </c>
      <c r="J609">
        <v>104136.57617170901</v>
      </c>
      <c r="K609" t="s">
        <v>817</v>
      </c>
      <c r="L609" s="9" t="s">
        <v>818</v>
      </c>
      <c r="M609" t="s">
        <v>42</v>
      </c>
      <c r="N609" s="12">
        <v>732.72339734464003</v>
      </c>
      <c r="O609" s="13">
        <v>5.3507674815235928</v>
      </c>
      <c r="P609" s="9" t="s">
        <v>823</v>
      </c>
      <c r="Q609">
        <v>558.54999999999995</v>
      </c>
      <c r="R609">
        <v>558.54999999999995</v>
      </c>
      <c r="S609" t="s">
        <v>39</v>
      </c>
      <c r="T609">
        <v>869.66139733711998</v>
      </c>
      <c r="U609">
        <v>4772809.75</v>
      </c>
      <c r="V609">
        <v>7431256.64024569</v>
      </c>
      <c r="W609" t="s">
        <v>30</v>
      </c>
      <c r="X609" t="s">
        <v>819</v>
      </c>
      <c r="Y609" t="s">
        <v>824</v>
      </c>
      <c r="Z609" t="b">
        <v>0</v>
      </c>
      <c r="AA609" t="s">
        <v>44</v>
      </c>
      <c r="AB609" t="s">
        <v>45</v>
      </c>
      <c r="AC609" t="s">
        <v>158</v>
      </c>
    </row>
    <row r="610" spans="2:29" x14ac:dyDescent="0.35">
      <c r="B610" t="s">
        <v>823</v>
      </c>
      <c r="C610">
        <v>401.27</v>
      </c>
      <c r="D610" t="s">
        <v>39</v>
      </c>
      <c r="E610" s="10">
        <v>624.77670559388798</v>
      </c>
      <c r="F610" t="s">
        <v>30</v>
      </c>
      <c r="G610" s="14">
        <v>46113</v>
      </c>
      <c r="H610">
        <v>9543</v>
      </c>
      <c r="I610">
        <v>3829319.61</v>
      </c>
      <c r="J610">
        <v>16886.278644075501</v>
      </c>
      <c r="K610" t="s">
        <v>817</v>
      </c>
      <c r="L610" s="9" t="s">
        <v>818</v>
      </c>
      <c r="M610" t="s">
        <v>42</v>
      </c>
      <c r="N610" s="12">
        <v>464.09448161180796</v>
      </c>
      <c r="O610" s="13">
        <v>0.74281655743015917</v>
      </c>
      <c r="P610" s="9" t="s">
        <v>823</v>
      </c>
      <c r="Q610">
        <v>103.2</v>
      </c>
      <c r="R610">
        <v>103.2</v>
      </c>
      <c r="S610" t="s">
        <v>39</v>
      </c>
      <c r="T610">
        <v>160.68222398208002</v>
      </c>
      <c r="U610">
        <v>2012296.8</v>
      </c>
      <c r="V610">
        <v>3133142.6854265784</v>
      </c>
      <c r="W610" t="s">
        <v>30</v>
      </c>
      <c r="X610" t="s">
        <v>819</v>
      </c>
      <c r="Y610" t="s">
        <v>824</v>
      </c>
      <c r="Z610" t="b">
        <v>0</v>
      </c>
      <c r="AA610" t="s">
        <v>44</v>
      </c>
      <c r="AB610" t="s">
        <v>45</v>
      </c>
      <c r="AC610" t="s">
        <v>158</v>
      </c>
    </row>
    <row r="611" spans="2:29" x14ac:dyDescent="0.35">
      <c r="B611" t="s">
        <v>823</v>
      </c>
      <c r="C611">
        <v>979.43</v>
      </c>
      <c r="D611" t="s">
        <v>39</v>
      </c>
      <c r="E611" s="10">
        <v>1524.9708394841919</v>
      </c>
      <c r="F611" t="s">
        <v>30</v>
      </c>
      <c r="G611" s="14">
        <v>46113</v>
      </c>
      <c r="H611">
        <v>805</v>
      </c>
      <c r="I611">
        <v>788441.14999999991</v>
      </c>
      <c r="J611">
        <v>23381.001199489201</v>
      </c>
      <c r="K611" t="s">
        <v>817</v>
      </c>
      <c r="L611" s="9" t="s">
        <v>818</v>
      </c>
      <c r="M611" t="s">
        <v>42</v>
      </c>
      <c r="N611" s="12">
        <v>432.28500645721579</v>
      </c>
      <c r="O611" s="13">
        <v>0.28347099843786683</v>
      </c>
      <c r="P611" s="9" t="s">
        <v>823</v>
      </c>
      <c r="Q611">
        <v>701.79</v>
      </c>
      <c r="R611">
        <v>701.79</v>
      </c>
      <c r="S611" t="s">
        <v>39</v>
      </c>
      <c r="T611">
        <v>1092.6858330269761</v>
      </c>
      <c r="U611">
        <v>499674.48</v>
      </c>
      <c r="V611">
        <v>777992.31311520701</v>
      </c>
      <c r="W611" t="s">
        <v>30</v>
      </c>
      <c r="X611" t="s">
        <v>819</v>
      </c>
      <c r="Y611" t="s">
        <v>824</v>
      </c>
      <c r="Z611" t="b">
        <v>0</v>
      </c>
      <c r="AA611" t="s">
        <v>44</v>
      </c>
      <c r="AB611" t="s">
        <v>45</v>
      </c>
      <c r="AC611" t="s">
        <v>158</v>
      </c>
    </row>
    <row r="612" spans="2:29" x14ac:dyDescent="0.35">
      <c r="B612" t="s">
        <v>823</v>
      </c>
      <c r="C612">
        <v>974.6</v>
      </c>
      <c r="D612" t="s">
        <v>39</v>
      </c>
      <c r="E612" s="10">
        <v>1517.4505377222401</v>
      </c>
      <c r="F612" t="s">
        <v>30</v>
      </c>
      <c r="G612" s="14">
        <v>46113</v>
      </c>
      <c r="H612">
        <v>753</v>
      </c>
      <c r="I612">
        <v>733873.8</v>
      </c>
      <c r="J612">
        <v>4369.1769918237396</v>
      </c>
      <c r="K612" t="s">
        <v>817</v>
      </c>
      <c r="L612" s="9" t="s">
        <v>818</v>
      </c>
      <c r="M612" t="s">
        <v>42</v>
      </c>
      <c r="N612" s="12">
        <v>1290.5491762793281</v>
      </c>
      <c r="O612" s="13">
        <v>0.8504719885081059</v>
      </c>
      <c r="P612" s="9" t="s">
        <v>823</v>
      </c>
      <c r="Q612">
        <v>145.72999999999999</v>
      </c>
      <c r="R612">
        <v>145.72999999999999</v>
      </c>
      <c r="S612" t="s">
        <v>39</v>
      </c>
      <c r="T612">
        <v>226.90136144291199</v>
      </c>
      <c r="U612">
        <v>1205915.75</v>
      </c>
      <c r="V612">
        <v>1877608.7659400967</v>
      </c>
      <c r="W612" t="s">
        <v>30</v>
      </c>
      <c r="X612" t="s">
        <v>819</v>
      </c>
      <c r="Y612" t="s">
        <v>824</v>
      </c>
      <c r="Z612" t="b">
        <v>0</v>
      </c>
      <c r="AA612" t="s">
        <v>44</v>
      </c>
      <c r="AB612" t="s">
        <v>45</v>
      </c>
      <c r="AC612" t="s">
        <v>158</v>
      </c>
    </row>
    <row r="613" spans="2:29" x14ac:dyDescent="0.35">
      <c r="B613" t="s">
        <v>823</v>
      </c>
      <c r="C613">
        <v>985.38</v>
      </c>
      <c r="D613" t="s">
        <v>39</v>
      </c>
      <c r="E613" s="10">
        <v>1534.2349793358721</v>
      </c>
      <c r="F613" t="s">
        <v>30</v>
      </c>
      <c r="G613" s="14">
        <v>46113</v>
      </c>
      <c r="H613">
        <v>3399</v>
      </c>
      <c r="I613">
        <v>3349306.62</v>
      </c>
      <c r="J613">
        <v>38141.7342799748</v>
      </c>
      <c r="K613" t="s">
        <v>817</v>
      </c>
      <c r="L613" s="9" t="s">
        <v>818</v>
      </c>
      <c r="M613" t="s">
        <v>42</v>
      </c>
      <c r="N613" s="12">
        <v>17.033561340736014</v>
      </c>
      <c r="O613" s="13">
        <v>1.1102315857841653E-2</v>
      </c>
      <c r="P613" s="9" t="s">
        <v>823</v>
      </c>
      <c r="Q613">
        <v>974.44</v>
      </c>
      <c r="R613">
        <v>974.44</v>
      </c>
      <c r="S613" t="s">
        <v>39</v>
      </c>
      <c r="T613">
        <v>1517.2014179951361</v>
      </c>
      <c r="U613">
        <v>5694627.3600000003</v>
      </c>
      <c r="V613">
        <v>8866525.0867635757</v>
      </c>
      <c r="W613" t="s">
        <v>30</v>
      </c>
      <c r="X613" t="s">
        <v>819</v>
      </c>
      <c r="Y613" t="s">
        <v>824</v>
      </c>
      <c r="Z613" t="b">
        <v>0</v>
      </c>
      <c r="AA613" t="s">
        <v>44</v>
      </c>
      <c r="AB613" t="s">
        <v>45</v>
      </c>
      <c r="AC613" t="s">
        <v>158</v>
      </c>
    </row>
    <row r="614" spans="2:29" x14ac:dyDescent="0.35">
      <c r="B614" t="s">
        <v>823</v>
      </c>
      <c r="C614">
        <v>884.99</v>
      </c>
      <c r="D614" t="s">
        <v>39</v>
      </c>
      <c r="E614" s="10">
        <v>1377.927920561056</v>
      </c>
      <c r="F614" t="s">
        <v>30</v>
      </c>
      <c r="G614" s="14">
        <v>46113</v>
      </c>
      <c r="H614">
        <v>4181</v>
      </c>
      <c r="I614">
        <v>3700143.19</v>
      </c>
      <c r="J614">
        <v>17004.364508719402</v>
      </c>
      <c r="K614" t="s">
        <v>817</v>
      </c>
      <c r="L614" s="9" t="s">
        <v>818</v>
      </c>
      <c r="M614" t="s">
        <v>42</v>
      </c>
      <c r="N614" s="12">
        <v>463.61181214054398</v>
      </c>
      <c r="O614" s="13">
        <v>0.33645577916134645</v>
      </c>
      <c r="P614" s="9" t="s">
        <v>823</v>
      </c>
      <c r="Q614">
        <v>587.23</v>
      </c>
      <c r="R614">
        <v>587.23</v>
      </c>
      <c r="S614" t="s">
        <v>39</v>
      </c>
      <c r="T614">
        <v>914.31610842051202</v>
      </c>
      <c r="U614">
        <v>2987826.24</v>
      </c>
      <c r="V614">
        <v>4652040.3596435655</v>
      </c>
      <c r="W614" t="s">
        <v>30</v>
      </c>
      <c r="X614" t="s">
        <v>819</v>
      </c>
      <c r="Y614" t="s">
        <v>824</v>
      </c>
      <c r="Z614" t="b">
        <v>0</v>
      </c>
      <c r="AA614" t="s">
        <v>44</v>
      </c>
      <c r="AB614" t="s">
        <v>45</v>
      </c>
      <c r="AC614" t="s">
        <v>158</v>
      </c>
    </row>
    <row r="615" spans="2:29" x14ac:dyDescent="0.35">
      <c r="B615" t="s">
        <v>823</v>
      </c>
      <c r="C615">
        <v>955.32</v>
      </c>
      <c r="D615" t="s">
        <v>39</v>
      </c>
      <c r="E615" s="10">
        <v>1487.4316106062081</v>
      </c>
      <c r="F615" t="s">
        <v>30</v>
      </c>
      <c r="G615" s="14">
        <v>46113</v>
      </c>
      <c r="H615">
        <v>11269</v>
      </c>
      <c r="I615">
        <v>10765501.08</v>
      </c>
      <c r="J615">
        <v>41448.138490003599</v>
      </c>
      <c r="K615" t="s">
        <v>817</v>
      </c>
      <c r="L615" s="9" t="s">
        <v>818</v>
      </c>
      <c r="M615" t="s">
        <v>42</v>
      </c>
      <c r="N615" s="12">
        <v>1392.8128242555201</v>
      </c>
      <c r="O615" s="13">
        <v>0.93638780722689785</v>
      </c>
      <c r="P615" s="9" t="s">
        <v>823</v>
      </c>
      <c r="Q615">
        <v>60.77</v>
      </c>
      <c r="R615">
        <v>60.77</v>
      </c>
      <c r="S615" t="s">
        <v>39</v>
      </c>
      <c r="T615">
        <v>94.618786350688012</v>
      </c>
      <c r="U615">
        <v>147549.56</v>
      </c>
      <c r="V615">
        <v>229734.41325947049</v>
      </c>
      <c r="W615" t="s">
        <v>30</v>
      </c>
      <c r="X615" t="s">
        <v>819</v>
      </c>
      <c r="Y615" t="s">
        <v>824</v>
      </c>
      <c r="Z615" t="b">
        <v>0</v>
      </c>
      <c r="AA615" t="s">
        <v>44</v>
      </c>
      <c r="AB615" t="s">
        <v>45</v>
      </c>
      <c r="AC615" t="s">
        <v>158</v>
      </c>
    </row>
    <row r="616" spans="2:29" x14ac:dyDescent="0.35">
      <c r="B616" t="s">
        <v>825</v>
      </c>
      <c r="C616">
        <v>54.68</v>
      </c>
      <c r="D616" t="s">
        <v>39</v>
      </c>
      <c r="E616" s="10">
        <v>85.136666737791998</v>
      </c>
      <c r="F616" t="s">
        <v>30</v>
      </c>
      <c r="G616" s="14">
        <v>46113</v>
      </c>
      <c r="H616">
        <v>16781</v>
      </c>
      <c r="I616">
        <v>917585.08</v>
      </c>
      <c r="J616">
        <v>3036.7850433806998</v>
      </c>
      <c r="K616" t="s">
        <v>817</v>
      </c>
      <c r="L616" s="9" t="s">
        <v>818</v>
      </c>
      <c r="M616" t="s">
        <v>42</v>
      </c>
      <c r="N616" s="12">
        <v>362.93630242463996</v>
      </c>
      <c r="O616" s="13">
        <v>4.2629846378931964</v>
      </c>
      <c r="P616" s="9" t="s">
        <v>825</v>
      </c>
      <c r="Q616">
        <v>287.77999999999997</v>
      </c>
      <c r="R616">
        <v>287.77999999999997</v>
      </c>
      <c r="S616" t="s">
        <v>39</v>
      </c>
      <c r="T616">
        <v>448.07296916243195</v>
      </c>
      <c r="U616">
        <v>659303.98</v>
      </c>
      <c r="V616">
        <v>1026535.1723511316</v>
      </c>
      <c r="W616" t="s">
        <v>30</v>
      </c>
      <c r="X616" t="s">
        <v>819</v>
      </c>
      <c r="Y616" t="s">
        <v>826</v>
      </c>
      <c r="Z616" t="b">
        <v>0</v>
      </c>
      <c r="AA616" t="s">
        <v>44</v>
      </c>
      <c r="AB616" t="s">
        <v>45</v>
      </c>
      <c r="AC616" t="s">
        <v>196</v>
      </c>
    </row>
    <row r="617" spans="2:29" x14ac:dyDescent="0.35">
      <c r="B617" t="s">
        <v>825</v>
      </c>
      <c r="C617">
        <v>347.52</v>
      </c>
      <c r="D617" t="s">
        <v>39</v>
      </c>
      <c r="E617" s="10">
        <v>541.08804726988797</v>
      </c>
      <c r="F617" t="s">
        <v>30</v>
      </c>
      <c r="G617" s="14">
        <v>46113</v>
      </c>
      <c r="H617">
        <v>18842</v>
      </c>
      <c r="I617">
        <v>6547971.8399999999</v>
      </c>
      <c r="J617">
        <v>1822.1037229926001</v>
      </c>
      <c r="K617" t="s">
        <v>817</v>
      </c>
      <c r="L617" s="9" t="s">
        <v>818</v>
      </c>
      <c r="M617" t="s">
        <v>42</v>
      </c>
      <c r="N617" s="12">
        <v>138.12131869622408</v>
      </c>
      <c r="O617" s="13">
        <v>0.25526588397790073</v>
      </c>
      <c r="P617" s="9" t="s">
        <v>825</v>
      </c>
      <c r="Q617">
        <v>436.23</v>
      </c>
      <c r="R617">
        <v>436.23</v>
      </c>
      <c r="S617" t="s">
        <v>39</v>
      </c>
      <c r="T617">
        <v>679.20936596611205</v>
      </c>
      <c r="U617">
        <v>7347421.8900000006</v>
      </c>
      <c r="V617">
        <v>11439923.350967225</v>
      </c>
      <c r="W617" t="s">
        <v>30</v>
      </c>
      <c r="X617" t="s">
        <v>819</v>
      </c>
      <c r="Y617" t="s">
        <v>826</v>
      </c>
      <c r="Z617" t="b">
        <v>0</v>
      </c>
      <c r="AA617" t="s">
        <v>44</v>
      </c>
      <c r="AB617" t="s">
        <v>45</v>
      </c>
      <c r="AC617" t="s">
        <v>196</v>
      </c>
    </row>
    <row r="618" spans="2:29" x14ac:dyDescent="0.35">
      <c r="B618" t="s">
        <v>825</v>
      </c>
      <c r="C618">
        <v>367.52</v>
      </c>
      <c r="D618" t="s">
        <v>39</v>
      </c>
      <c r="E618" s="10">
        <v>572.22801315788797</v>
      </c>
      <c r="F618" t="s">
        <v>30</v>
      </c>
      <c r="G618" s="14">
        <v>46113</v>
      </c>
      <c r="H618">
        <v>15458</v>
      </c>
      <c r="I618">
        <v>5681124.1600000001</v>
      </c>
      <c r="J618">
        <v>1214.7358153283999</v>
      </c>
      <c r="K618" t="s">
        <v>817</v>
      </c>
      <c r="L618" s="9" t="s">
        <v>818</v>
      </c>
      <c r="M618" t="s">
        <v>42</v>
      </c>
      <c r="N618" s="12">
        <v>835.95238426336005</v>
      </c>
      <c r="O618" s="13">
        <v>1.4608728776665216</v>
      </c>
      <c r="P618" s="9" t="s">
        <v>825</v>
      </c>
      <c r="Q618">
        <v>904.42</v>
      </c>
      <c r="R618">
        <v>904.42</v>
      </c>
      <c r="S618" t="s">
        <v>39</v>
      </c>
      <c r="T618">
        <v>1408.180397421248</v>
      </c>
      <c r="U618">
        <v>6786767.6799999997</v>
      </c>
      <c r="V618">
        <v>10566985.702249045</v>
      </c>
      <c r="W618" t="s">
        <v>30</v>
      </c>
      <c r="X618" t="s">
        <v>819</v>
      </c>
      <c r="Y618" t="s">
        <v>826</v>
      </c>
      <c r="Z618" t="b">
        <v>0</v>
      </c>
      <c r="AA618" t="s">
        <v>44</v>
      </c>
      <c r="AB618" t="s">
        <v>45</v>
      </c>
      <c r="AC618" t="s">
        <v>196</v>
      </c>
    </row>
    <row r="619" spans="2:29" x14ac:dyDescent="0.35">
      <c r="B619" t="s">
        <v>825</v>
      </c>
      <c r="C619">
        <v>806.86</v>
      </c>
      <c r="D619" t="s">
        <v>39</v>
      </c>
      <c r="E619" s="10">
        <v>1256.279643819584</v>
      </c>
      <c r="F619" t="s">
        <v>30</v>
      </c>
      <c r="G619" s="14">
        <v>46113</v>
      </c>
      <c r="H619">
        <v>3721</v>
      </c>
      <c r="I619">
        <v>3002326.06</v>
      </c>
      <c r="J619">
        <v>2429.4716306568098</v>
      </c>
      <c r="K619" t="s">
        <v>817</v>
      </c>
      <c r="L619" s="9" t="s">
        <v>818</v>
      </c>
      <c r="M619" t="s">
        <v>42</v>
      </c>
      <c r="N619" s="12">
        <v>1239.1682325641279</v>
      </c>
      <c r="O619" s="13">
        <v>0.98637929752373399</v>
      </c>
      <c r="P619" s="9" t="s">
        <v>825</v>
      </c>
      <c r="Q619">
        <v>10.99</v>
      </c>
      <c r="R619">
        <v>10.99</v>
      </c>
      <c r="S619" t="s">
        <v>39</v>
      </c>
      <c r="T619">
        <v>17.111411255456002</v>
      </c>
      <c r="U619">
        <v>144287.71</v>
      </c>
      <c r="V619">
        <v>224655.71837288185</v>
      </c>
      <c r="W619" t="s">
        <v>30</v>
      </c>
      <c r="X619" t="s">
        <v>819</v>
      </c>
      <c r="Y619" t="s">
        <v>826</v>
      </c>
      <c r="Z619" t="b">
        <v>0</v>
      </c>
      <c r="AA619" t="s">
        <v>44</v>
      </c>
      <c r="AB619" t="s">
        <v>45</v>
      </c>
      <c r="AC619" t="s">
        <v>196</v>
      </c>
    </row>
    <row r="620" spans="2:29" x14ac:dyDescent="0.35">
      <c r="B620" t="s">
        <v>825</v>
      </c>
      <c r="C620">
        <v>93.51</v>
      </c>
      <c r="D620" t="s">
        <v>39</v>
      </c>
      <c r="E620" s="10">
        <v>145.594910509344</v>
      </c>
      <c r="F620" t="s">
        <v>30</v>
      </c>
      <c r="G620" s="14">
        <v>46113</v>
      </c>
      <c r="H620">
        <v>17006</v>
      </c>
      <c r="I620">
        <v>1590231.06</v>
      </c>
      <c r="J620">
        <v>9717.7121388182495</v>
      </c>
      <c r="K620" t="s">
        <v>817</v>
      </c>
      <c r="L620" s="9" t="s">
        <v>818</v>
      </c>
      <c r="M620" t="s">
        <v>42</v>
      </c>
      <c r="N620" s="12">
        <v>536.80630196028801</v>
      </c>
      <c r="O620" s="13">
        <v>3.6869853491605173</v>
      </c>
      <c r="P620" s="9" t="s">
        <v>825</v>
      </c>
      <c r="Q620">
        <v>438.28</v>
      </c>
      <c r="R620">
        <v>438.28</v>
      </c>
      <c r="S620" t="s">
        <v>39</v>
      </c>
      <c r="T620">
        <v>682.40121246963201</v>
      </c>
      <c r="U620">
        <v>7038776.7999999998</v>
      </c>
      <c r="V620">
        <v>10959363.472262289</v>
      </c>
      <c r="W620" t="s">
        <v>30</v>
      </c>
      <c r="X620" t="s">
        <v>819</v>
      </c>
      <c r="Y620" t="s">
        <v>826</v>
      </c>
      <c r="Z620" t="b">
        <v>0</v>
      </c>
      <c r="AA620" t="s">
        <v>44</v>
      </c>
      <c r="AB620" t="s">
        <v>45</v>
      </c>
      <c r="AC620" t="s">
        <v>196</v>
      </c>
    </row>
    <row r="621" spans="2:29" x14ac:dyDescent="0.35">
      <c r="B621" t="s">
        <v>827</v>
      </c>
      <c r="C621">
        <v>831.9</v>
      </c>
      <c r="D621" t="s">
        <v>39</v>
      </c>
      <c r="E621" s="10">
        <v>1295.2668811113599</v>
      </c>
      <c r="F621" t="s">
        <v>30</v>
      </c>
      <c r="G621" s="14">
        <v>46113</v>
      </c>
      <c r="H621">
        <v>17650</v>
      </c>
      <c r="I621">
        <v>14683035</v>
      </c>
      <c r="J621">
        <v>272.94304660695502</v>
      </c>
      <c r="K621" t="s">
        <v>817</v>
      </c>
      <c r="L621" s="9" t="s">
        <v>818</v>
      </c>
      <c r="M621" t="s">
        <v>42</v>
      </c>
      <c r="N621" s="12">
        <v>772.92509330604787</v>
      </c>
      <c r="O621" s="13">
        <v>0.59673037624714498</v>
      </c>
      <c r="P621" s="9" t="s">
        <v>827</v>
      </c>
      <c r="Q621">
        <v>335.48</v>
      </c>
      <c r="R621">
        <v>335.48</v>
      </c>
      <c r="S621" t="s">
        <v>39</v>
      </c>
      <c r="T621">
        <v>522.34178780531204</v>
      </c>
      <c r="U621">
        <v>1082929.44</v>
      </c>
      <c r="V621">
        <v>1686119.2910355472</v>
      </c>
      <c r="W621" t="s">
        <v>30</v>
      </c>
      <c r="X621" t="s">
        <v>819</v>
      </c>
      <c r="Y621" t="s">
        <v>828</v>
      </c>
      <c r="Z621" t="b">
        <v>0</v>
      </c>
      <c r="AA621" t="s">
        <v>44</v>
      </c>
      <c r="AB621" t="s">
        <v>45</v>
      </c>
      <c r="AC621" t="s">
        <v>196</v>
      </c>
    </row>
    <row r="622" spans="2:29" x14ac:dyDescent="0.35">
      <c r="B622" t="s">
        <v>827</v>
      </c>
      <c r="C622">
        <v>538.23</v>
      </c>
      <c r="D622" t="s">
        <v>39</v>
      </c>
      <c r="E622" s="10">
        <v>838.02319199491205</v>
      </c>
      <c r="F622" t="s">
        <v>30</v>
      </c>
      <c r="G622" s="14">
        <v>46113</v>
      </c>
      <c r="H622">
        <v>8920</v>
      </c>
      <c r="I622">
        <v>4801011.6000000006</v>
      </c>
      <c r="J622">
        <v>1262.3443078760999</v>
      </c>
      <c r="K622" t="s">
        <v>817</v>
      </c>
      <c r="L622" s="9" t="s">
        <v>818</v>
      </c>
      <c r="M622" t="s">
        <v>42</v>
      </c>
      <c r="N622" s="12">
        <v>218.49357065315212</v>
      </c>
      <c r="O622" s="13">
        <v>0.26072496887947544</v>
      </c>
      <c r="P622" s="9" t="s">
        <v>827</v>
      </c>
      <c r="Q622">
        <v>397.9</v>
      </c>
      <c r="R622">
        <v>397.9</v>
      </c>
      <c r="S622" t="s">
        <v>39</v>
      </c>
      <c r="T622">
        <v>619.52962134175993</v>
      </c>
      <c r="U622">
        <v>4844830.3999999994</v>
      </c>
      <c r="V622">
        <v>7543392.6694572689</v>
      </c>
      <c r="W622" t="s">
        <v>30</v>
      </c>
      <c r="X622" t="s">
        <v>819</v>
      </c>
      <c r="Y622" t="s">
        <v>828</v>
      </c>
      <c r="Z622" t="b">
        <v>0</v>
      </c>
      <c r="AA622" t="s">
        <v>44</v>
      </c>
      <c r="AB622" t="s">
        <v>45</v>
      </c>
      <c r="AC622" t="s">
        <v>196</v>
      </c>
    </row>
    <row r="623" spans="2:29" x14ac:dyDescent="0.35">
      <c r="B623" t="s">
        <v>827</v>
      </c>
      <c r="C623">
        <v>670.03</v>
      </c>
      <c r="D623" t="s">
        <v>39</v>
      </c>
      <c r="E623" s="10">
        <v>1043.2355671968319</v>
      </c>
      <c r="F623" t="s">
        <v>30</v>
      </c>
      <c r="G623" s="14">
        <v>46113</v>
      </c>
      <c r="H623">
        <v>3704</v>
      </c>
      <c r="I623">
        <v>2481791.12</v>
      </c>
      <c r="J623">
        <v>14841.0749709758</v>
      </c>
      <c r="K623" t="s">
        <v>817</v>
      </c>
      <c r="L623" s="9" t="s">
        <v>818</v>
      </c>
      <c r="M623" t="s">
        <v>42</v>
      </c>
      <c r="N623" s="12">
        <v>575.98037904739181</v>
      </c>
      <c r="O623" s="13">
        <v>0.55210960703252077</v>
      </c>
      <c r="P623" s="9" t="s">
        <v>827</v>
      </c>
      <c r="Q623">
        <v>300.10000000000002</v>
      </c>
      <c r="R623">
        <v>300.10000000000002</v>
      </c>
      <c r="S623" t="s">
        <v>39</v>
      </c>
      <c r="T623">
        <v>467.25518814944007</v>
      </c>
      <c r="U623">
        <v>1448282.6</v>
      </c>
      <c r="V623">
        <v>2254973.5380091979</v>
      </c>
      <c r="W623" t="s">
        <v>30</v>
      </c>
      <c r="X623" t="s">
        <v>819</v>
      </c>
      <c r="Y623" t="s">
        <v>828</v>
      </c>
      <c r="Z623" t="b">
        <v>0</v>
      </c>
      <c r="AA623" t="s">
        <v>44</v>
      </c>
      <c r="AB623" t="s">
        <v>45</v>
      </c>
      <c r="AC623" t="s">
        <v>196</v>
      </c>
    </row>
    <row r="624" spans="2:29" x14ac:dyDescent="0.35">
      <c r="B624" t="s">
        <v>827</v>
      </c>
      <c r="C624">
        <v>801.33</v>
      </c>
      <c r="D624" t="s">
        <v>39</v>
      </c>
      <c r="E624" s="10">
        <v>1247.6694432515521</v>
      </c>
      <c r="F624" t="s">
        <v>30</v>
      </c>
      <c r="G624" s="14">
        <v>46113</v>
      </c>
      <c r="H624">
        <v>3592</v>
      </c>
      <c r="I624">
        <v>2878377.3600000003</v>
      </c>
      <c r="J624">
        <v>272.94304660695502</v>
      </c>
      <c r="K624" t="s">
        <v>817</v>
      </c>
      <c r="L624" s="9" t="s">
        <v>818</v>
      </c>
      <c r="M624" t="s">
        <v>42</v>
      </c>
      <c r="N624" s="12">
        <v>637.68422145446414</v>
      </c>
      <c r="O624" s="13">
        <v>0.51110029575830185</v>
      </c>
      <c r="P624" s="9" t="s">
        <v>827</v>
      </c>
      <c r="Q624">
        <v>391.77</v>
      </c>
      <c r="R624">
        <v>391.77</v>
      </c>
      <c r="S624" t="s">
        <v>39</v>
      </c>
      <c r="T624">
        <v>609.985221797088</v>
      </c>
      <c r="U624">
        <v>1243477.98</v>
      </c>
      <c r="V624">
        <v>1936093.0939839573</v>
      </c>
      <c r="W624" t="s">
        <v>30</v>
      </c>
      <c r="X624" t="s">
        <v>819</v>
      </c>
      <c r="Y624" t="s">
        <v>828</v>
      </c>
      <c r="Z624" t="b">
        <v>0</v>
      </c>
      <c r="AA624" t="s">
        <v>44</v>
      </c>
      <c r="AB624" t="s">
        <v>45</v>
      </c>
      <c r="AC624" t="s">
        <v>196</v>
      </c>
    </row>
    <row r="625" spans="2:29" x14ac:dyDescent="0.35">
      <c r="B625" t="s">
        <v>827</v>
      </c>
      <c r="C625">
        <v>540.67999999999995</v>
      </c>
      <c r="D625" t="s">
        <v>39</v>
      </c>
      <c r="E625" s="10">
        <v>841.83783781619195</v>
      </c>
      <c r="F625" t="s">
        <v>30</v>
      </c>
      <c r="G625" s="14">
        <v>46113</v>
      </c>
      <c r="H625">
        <v>16618</v>
      </c>
      <c r="I625">
        <v>8985020.2399999984</v>
      </c>
      <c r="J625">
        <v>238.828435477504</v>
      </c>
      <c r="K625" t="s">
        <v>817</v>
      </c>
      <c r="L625" s="9" t="s">
        <v>818</v>
      </c>
      <c r="M625" t="s">
        <v>42</v>
      </c>
      <c r="N625" s="12">
        <v>370.19191447654407</v>
      </c>
      <c r="O625" s="13">
        <v>0.43974254642302296</v>
      </c>
      <c r="P625" s="9" t="s">
        <v>827</v>
      </c>
      <c r="Q625">
        <v>778.44</v>
      </c>
      <c r="R625">
        <v>778.44</v>
      </c>
      <c r="S625" t="s">
        <v>39</v>
      </c>
      <c r="T625">
        <v>1212.029752292736</v>
      </c>
      <c r="U625">
        <v>10000618.680000002</v>
      </c>
      <c r="V625">
        <v>15570946.22770478</v>
      </c>
      <c r="W625" t="s">
        <v>30</v>
      </c>
      <c r="X625" t="s">
        <v>819</v>
      </c>
      <c r="Y625" t="s">
        <v>828</v>
      </c>
      <c r="Z625" t="b">
        <v>0</v>
      </c>
      <c r="AA625" t="s">
        <v>44</v>
      </c>
      <c r="AB625" t="s">
        <v>45</v>
      </c>
      <c r="AC625" t="s">
        <v>196</v>
      </c>
    </row>
    <row r="626" spans="2:29" x14ac:dyDescent="0.35">
      <c r="B626" t="s">
        <v>827</v>
      </c>
      <c r="C626">
        <v>90</v>
      </c>
      <c r="D626" t="s">
        <v>39</v>
      </c>
      <c r="E626" s="10">
        <v>140.129846496</v>
      </c>
      <c r="F626" t="s">
        <v>30</v>
      </c>
      <c r="G626" s="14">
        <v>46113</v>
      </c>
      <c r="H626">
        <v>7804</v>
      </c>
      <c r="I626">
        <v>702360</v>
      </c>
      <c r="J626">
        <v>6652.8956766443198</v>
      </c>
      <c r="K626" t="s">
        <v>817</v>
      </c>
      <c r="L626" s="9" t="s">
        <v>818</v>
      </c>
      <c r="M626" t="s">
        <v>42</v>
      </c>
      <c r="N626" s="12">
        <v>1066.9797911864321</v>
      </c>
      <c r="O626" s="13">
        <v>7.6142222222222227</v>
      </c>
      <c r="P626" s="9" t="s">
        <v>827</v>
      </c>
      <c r="Q626">
        <v>775.28</v>
      </c>
      <c r="R626">
        <v>775.28</v>
      </c>
      <c r="S626" t="s">
        <v>39</v>
      </c>
      <c r="T626">
        <v>1207.1096376824321</v>
      </c>
      <c r="U626">
        <v>649684.64</v>
      </c>
      <c r="V626">
        <v>1011557.8763778781</v>
      </c>
      <c r="W626" t="s">
        <v>30</v>
      </c>
      <c r="X626" t="s">
        <v>819</v>
      </c>
      <c r="Y626" t="s">
        <v>828</v>
      </c>
      <c r="Z626" t="b">
        <v>0</v>
      </c>
      <c r="AA626" t="s">
        <v>44</v>
      </c>
      <c r="AB626" t="s">
        <v>45</v>
      </c>
      <c r="AC626" t="s">
        <v>196</v>
      </c>
    </row>
    <row r="627" spans="2:29" x14ac:dyDescent="0.35">
      <c r="B627" t="s">
        <v>827</v>
      </c>
      <c r="C627">
        <v>972.45</v>
      </c>
      <c r="D627" t="s">
        <v>39</v>
      </c>
      <c r="E627" s="10">
        <v>1514.1029913892801</v>
      </c>
      <c r="F627" t="s">
        <v>30</v>
      </c>
      <c r="G627" s="14">
        <v>46113</v>
      </c>
      <c r="H627">
        <v>480</v>
      </c>
      <c r="I627">
        <v>466776</v>
      </c>
      <c r="J627">
        <v>12282.268941497199</v>
      </c>
      <c r="K627" t="s">
        <v>817</v>
      </c>
      <c r="L627" s="9" t="s">
        <v>818</v>
      </c>
      <c r="M627" t="s">
        <v>42</v>
      </c>
      <c r="N627" s="12">
        <v>1155.3238744106879</v>
      </c>
      <c r="O627" s="13">
        <v>0.76304180163504542</v>
      </c>
      <c r="P627" s="9" t="s">
        <v>827</v>
      </c>
      <c r="Q627">
        <v>230.43</v>
      </c>
      <c r="R627">
        <v>230.43</v>
      </c>
      <c r="S627" t="s">
        <v>39</v>
      </c>
      <c r="T627">
        <v>358.77911697859201</v>
      </c>
      <c r="U627">
        <v>1494108.12</v>
      </c>
      <c r="V627">
        <v>2326323.7944891904</v>
      </c>
      <c r="W627" t="s">
        <v>30</v>
      </c>
      <c r="X627" t="s">
        <v>819</v>
      </c>
      <c r="Y627" t="s">
        <v>828</v>
      </c>
      <c r="Z627" t="b">
        <v>0</v>
      </c>
      <c r="AA627" t="s">
        <v>44</v>
      </c>
      <c r="AB627" t="s">
        <v>45</v>
      </c>
      <c r="AC627" t="s">
        <v>196</v>
      </c>
    </row>
    <row r="628" spans="2:29" x14ac:dyDescent="0.35">
      <c r="B628" t="s">
        <v>829</v>
      </c>
      <c r="C628">
        <v>224.78</v>
      </c>
      <c r="D628" t="s">
        <v>39</v>
      </c>
      <c r="E628" s="10">
        <v>349.98207661523202</v>
      </c>
      <c r="F628" t="s">
        <v>30</v>
      </c>
      <c r="G628" s="14">
        <v>46113</v>
      </c>
      <c r="H628">
        <v>17321</v>
      </c>
      <c r="I628">
        <v>3893414.38</v>
      </c>
      <c r="J628">
        <v>1634.8482091200001</v>
      </c>
      <c r="K628" t="s">
        <v>817</v>
      </c>
      <c r="L628" s="9" t="s">
        <v>818</v>
      </c>
      <c r="M628" t="s">
        <v>42</v>
      </c>
      <c r="N628" s="12">
        <v>329.32070924854401</v>
      </c>
      <c r="O628" s="13">
        <v>0.94096449862087372</v>
      </c>
      <c r="P628" s="9" t="s">
        <v>829</v>
      </c>
      <c r="Q628">
        <v>13.27</v>
      </c>
      <c r="R628">
        <v>13.27</v>
      </c>
      <c r="S628" t="s">
        <v>39</v>
      </c>
      <c r="T628">
        <v>20.661367366688001</v>
      </c>
      <c r="U628">
        <v>115807.29</v>
      </c>
      <c r="V628">
        <v>180311.75300908618</v>
      </c>
      <c r="W628" t="s">
        <v>30</v>
      </c>
      <c r="X628" t="s">
        <v>819</v>
      </c>
      <c r="Y628" t="s">
        <v>830</v>
      </c>
      <c r="Z628" t="b">
        <v>0</v>
      </c>
      <c r="AA628" t="s">
        <v>44</v>
      </c>
      <c r="AB628" t="s">
        <v>45</v>
      </c>
      <c r="AC628" t="s">
        <v>158</v>
      </c>
    </row>
    <row r="629" spans="2:29" x14ac:dyDescent="0.35">
      <c r="B629" t="s">
        <v>829</v>
      </c>
      <c r="C629">
        <v>566.35</v>
      </c>
      <c r="D629" t="s">
        <v>39</v>
      </c>
      <c r="E629" s="10">
        <v>881.80598403344004</v>
      </c>
      <c r="F629" t="s">
        <v>30</v>
      </c>
      <c r="G629" s="14">
        <v>46113</v>
      </c>
      <c r="H629">
        <v>228</v>
      </c>
      <c r="I629">
        <v>129127.8</v>
      </c>
      <c r="J629">
        <v>4087.1205227999999</v>
      </c>
      <c r="K629" t="s">
        <v>817</v>
      </c>
      <c r="L629" s="9" t="s">
        <v>818</v>
      </c>
      <c r="M629" t="s">
        <v>42</v>
      </c>
      <c r="N629" s="12">
        <v>213.83814575289614</v>
      </c>
      <c r="O629" s="13">
        <v>0.24250022071157426</v>
      </c>
      <c r="P629" s="9" t="s">
        <v>829</v>
      </c>
      <c r="Q629">
        <v>703.69</v>
      </c>
      <c r="R629">
        <v>703.69</v>
      </c>
      <c r="S629" t="s">
        <v>39</v>
      </c>
      <c r="T629">
        <v>1095.6441297863362</v>
      </c>
      <c r="U629">
        <v>455991.12000000005</v>
      </c>
      <c r="V629">
        <v>709977.39610154589</v>
      </c>
      <c r="W629" t="s">
        <v>30</v>
      </c>
      <c r="X629" t="s">
        <v>819</v>
      </c>
      <c r="Y629" t="s">
        <v>830</v>
      </c>
      <c r="Z629" t="b">
        <v>0</v>
      </c>
      <c r="AA629" t="s">
        <v>44</v>
      </c>
      <c r="AB629" t="s">
        <v>45</v>
      </c>
      <c r="AC629" t="s">
        <v>158</v>
      </c>
    </row>
    <row r="630" spans="2:29" x14ac:dyDescent="0.35">
      <c r="B630" t="s">
        <v>829</v>
      </c>
      <c r="C630">
        <v>223.61</v>
      </c>
      <c r="D630" t="s">
        <v>39</v>
      </c>
      <c r="E630" s="10">
        <v>348.16038861078403</v>
      </c>
      <c r="F630" t="s">
        <v>30</v>
      </c>
      <c r="G630" s="14">
        <v>46113</v>
      </c>
      <c r="H630">
        <v>16243</v>
      </c>
      <c r="I630">
        <v>3632097.2300000004</v>
      </c>
      <c r="J630">
        <v>817.42410456000005</v>
      </c>
      <c r="K630" t="s">
        <v>817</v>
      </c>
      <c r="L630" s="9" t="s">
        <v>818</v>
      </c>
      <c r="M630" t="s">
        <v>42</v>
      </c>
      <c r="N630" s="12">
        <v>88.608772934304056</v>
      </c>
      <c r="O630" s="13">
        <v>0.25450561245024833</v>
      </c>
      <c r="P630" s="9" t="s">
        <v>829</v>
      </c>
      <c r="Q630">
        <v>166.7</v>
      </c>
      <c r="R630">
        <v>166.7</v>
      </c>
      <c r="S630" t="s">
        <v>39</v>
      </c>
      <c r="T630">
        <v>259.55161567647997</v>
      </c>
      <c r="U630">
        <v>182369.8</v>
      </c>
      <c r="V630">
        <v>283949.46755006909</v>
      </c>
      <c r="W630" t="s">
        <v>30</v>
      </c>
      <c r="X630" t="s">
        <v>819</v>
      </c>
      <c r="Y630" t="s">
        <v>830</v>
      </c>
      <c r="Z630" t="b">
        <v>0</v>
      </c>
      <c r="AA630" t="s">
        <v>44</v>
      </c>
      <c r="AB630" t="s">
        <v>45</v>
      </c>
      <c r="AC630" t="s">
        <v>158</v>
      </c>
    </row>
    <row r="631" spans="2:29" x14ac:dyDescent="0.35">
      <c r="B631" t="s">
        <v>829</v>
      </c>
      <c r="C631">
        <v>550.64</v>
      </c>
      <c r="D631" t="s">
        <v>39</v>
      </c>
      <c r="E631" s="10">
        <v>857.34554082841601</v>
      </c>
      <c r="F631" t="s">
        <v>30</v>
      </c>
      <c r="G631" s="14">
        <v>46113</v>
      </c>
      <c r="H631">
        <v>17386</v>
      </c>
      <c r="I631">
        <v>9573427.0399999991</v>
      </c>
      <c r="J631">
        <v>817.42410456000005</v>
      </c>
      <c r="K631" t="s">
        <v>817</v>
      </c>
      <c r="L631" s="9" t="s">
        <v>818</v>
      </c>
      <c r="M631" t="s">
        <v>42</v>
      </c>
      <c r="N631" s="12">
        <v>719.80031150111995</v>
      </c>
      <c r="O631" s="13">
        <v>0.83956850210663947</v>
      </c>
      <c r="P631" s="9" t="s">
        <v>829</v>
      </c>
      <c r="Q631">
        <v>88.34</v>
      </c>
      <c r="R631">
        <v>88.34</v>
      </c>
      <c r="S631" t="s">
        <v>39</v>
      </c>
      <c r="T631">
        <v>137.545229327296</v>
      </c>
      <c r="U631">
        <v>952040.18</v>
      </c>
      <c r="V631">
        <v>1482324.9364602689</v>
      </c>
      <c r="W631" t="s">
        <v>30</v>
      </c>
      <c r="X631" t="s">
        <v>819</v>
      </c>
      <c r="Y631" t="s">
        <v>830</v>
      </c>
      <c r="Z631" t="b">
        <v>0</v>
      </c>
      <c r="AA631" t="s">
        <v>44</v>
      </c>
      <c r="AB631" t="s">
        <v>45</v>
      </c>
      <c r="AC631" t="s">
        <v>158</v>
      </c>
    </row>
    <row r="632" spans="2:29" x14ac:dyDescent="0.35">
      <c r="B632" t="s">
        <v>829</v>
      </c>
      <c r="C632">
        <v>721.3</v>
      </c>
      <c r="D632" t="s">
        <v>39</v>
      </c>
      <c r="E632" s="10">
        <v>1123.06286975072</v>
      </c>
      <c r="F632" t="s">
        <v>30</v>
      </c>
      <c r="G632" s="14">
        <v>46113</v>
      </c>
      <c r="H632">
        <v>16241</v>
      </c>
      <c r="I632">
        <v>11714633.299999999</v>
      </c>
      <c r="J632">
        <v>5721.9687319200002</v>
      </c>
      <c r="K632" t="s">
        <v>817</v>
      </c>
      <c r="L632" s="9" t="s">
        <v>818</v>
      </c>
      <c r="M632" t="s">
        <v>42</v>
      </c>
      <c r="N632" s="12">
        <v>357.23768866713613</v>
      </c>
      <c r="O632" s="13">
        <v>0.31809233328712061</v>
      </c>
      <c r="P632" s="9" t="s">
        <v>829</v>
      </c>
      <c r="Q632">
        <v>950.74</v>
      </c>
      <c r="R632">
        <v>950.74</v>
      </c>
      <c r="S632" t="s">
        <v>39</v>
      </c>
      <c r="T632">
        <v>1480.3005584178561</v>
      </c>
      <c r="U632">
        <v>13197221.939999999</v>
      </c>
      <c r="V632">
        <v>20548052.051398262</v>
      </c>
      <c r="W632" t="s">
        <v>30</v>
      </c>
      <c r="X632" t="s">
        <v>819</v>
      </c>
      <c r="Y632" t="s">
        <v>830</v>
      </c>
      <c r="Z632" t="b">
        <v>0</v>
      </c>
      <c r="AA632" t="s">
        <v>44</v>
      </c>
      <c r="AB632" t="s">
        <v>45</v>
      </c>
      <c r="AC632" t="s">
        <v>158</v>
      </c>
    </row>
    <row r="633" spans="2:29" x14ac:dyDescent="0.35">
      <c r="B633" t="s">
        <v>829</v>
      </c>
      <c r="C633">
        <v>814.08</v>
      </c>
      <c r="D633" t="s">
        <v>39</v>
      </c>
      <c r="E633" s="10">
        <v>1267.5211715051521</v>
      </c>
      <c r="F633" t="s">
        <v>30</v>
      </c>
      <c r="G633" s="14">
        <v>46113</v>
      </c>
      <c r="H633">
        <v>15475</v>
      </c>
      <c r="I633">
        <v>12597888</v>
      </c>
      <c r="J633">
        <v>1634.8482091200001</v>
      </c>
      <c r="K633" t="s">
        <v>817</v>
      </c>
      <c r="L633" s="9" t="s">
        <v>818</v>
      </c>
      <c r="M633" t="s">
        <v>42</v>
      </c>
      <c r="N633" s="12">
        <v>539.17293936777605</v>
      </c>
      <c r="O633" s="13">
        <v>0.42537588443396229</v>
      </c>
      <c r="P633" s="9" t="s">
        <v>829</v>
      </c>
      <c r="Q633">
        <v>467.79</v>
      </c>
      <c r="R633">
        <v>467.79</v>
      </c>
      <c r="S633" t="s">
        <v>39</v>
      </c>
      <c r="T633">
        <v>728.34823213737604</v>
      </c>
      <c r="U633">
        <v>8292981.1200000001</v>
      </c>
      <c r="V633">
        <v>12912157.459331403</v>
      </c>
      <c r="W633" t="s">
        <v>30</v>
      </c>
      <c r="X633" t="s">
        <v>819</v>
      </c>
      <c r="Y633" t="s">
        <v>830</v>
      </c>
      <c r="Z633" t="b">
        <v>0</v>
      </c>
      <c r="AA633" t="s">
        <v>44</v>
      </c>
      <c r="AB633" t="s">
        <v>45</v>
      </c>
      <c r="AC633" t="s">
        <v>158</v>
      </c>
    </row>
    <row r="634" spans="2:29" x14ac:dyDescent="0.35">
      <c r="B634" t="s">
        <v>829</v>
      </c>
      <c r="C634">
        <v>584.02</v>
      </c>
      <c r="D634" t="s">
        <v>39</v>
      </c>
      <c r="E634" s="10">
        <v>909.31814389548799</v>
      </c>
      <c r="F634" t="s">
        <v>30</v>
      </c>
      <c r="G634" s="14">
        <v>46113</v>
      </c>
      <c r="H634">
        <v>18125</v>
      </c>
      <c r="I634">
        <v>10585362.5</v>
      </c>
      <c r="J634">
        <v>6539.3928364800004</v>
      </c>
      <c r="K634" t="s">
        <v>817</v>
      </c>
      <c r="L634" s="9" t="s">
        <v>818</v>
      </c>
      <c r="M634" t="s">
        <v>42</v>
      </c>
      <c r="N634" s="12">
        <v>320.67936871462393</v>
      </c>
      <c r="O634" s="13">
        <v>0.35265915550837296</v>
      </c>
      <c r="P634" s="9" t="s">
        <v>829</v>
      </c>
      <c r="Q634">
        <v>378.06</v>
      </c>
      <c r="R634">
        <v>378.06</v>
      </c>
      <c r="S634" t="s">
        <v>39</v>
      </c>
      <c r="T634">
        <v>588.63877518086406</v>
      </c>
      <c r="U634">
        <v>2513342.88</v>
      </c>
      <c r="V634">
        <v>3913270.5774023845</v>
      </c>
      <c r="W634" t="s">
        <v>30</v>
      </c>
      <c r="X634" t="s">
        <v>819</v>
      </c>
      <c r="Y634" t="s">
        <v>830</v>
      </c>
      <c r="Z634" t="b">
        <v>0</v>
      </c>
      <c r="AA634" t="s">
        <v>44</v>
      </c>
      <c r="AB634" t="s">
        <v>45</v>
      </c>
      <c r="AC634" t="s">
        <v>158</v>
      </c>
    </row>
    <row r="635" spans="2:29" x14ac:dyDescent="0.35">
      <c r="B635" t="s">
        <v>829</v>
      </c>
      <c r="C635">
        <v>231.27</v>
      </c>
      <c r="D635" t="s">
        <v>39</v>
      </c>
      <c r="E635" s="10">
        <v>360.08699554588804</v>
      </c>
      <c r="F635" t="s">
        <v>30</v>
      </c>
      <c r="G635" s="14">
        <v>46113</v>
      </c>
      <c r="H635">
        <v>13932</v>
      </c>
      <c r="I635">
        <v>3222053.64</v>
      </c>
      <c r="J635">
        <v>5721.9687319200002</v>
      </c>
      <c r="K635" t="s">
        <v>817</v>
      </c>
      <c r="L635" s="9" t="s">
        <v>818</v>
      </c>
      <c r="M635" t="s">
        <v>42</v>
      </c>
      <c r="N635" s="12">
        <v>9.3886997152320077</v>
      </c>
      <c r="O635" s="13">
        <v>2.6073420677130643E-2</v>
      </c>
      <c r="P635" s="9" t="s">
        <v>829</v>
      </c>
      <c r="Q635">
        <v>237.3</v>
      </c>
      <c r="R635">
        <v>237.3</v>
      </c>
      <c r="S635" t="s">
        <v>39</v>
      </c>
      <c r="T635">
        <v>369.47569526112005</v>
      </c>
      <c r="U635">
        <v>4422322.8</v>
      </c>
      <c r="V635">
        <v>6885549.0568862334</v>
      </c>
      <c r="W635" t="s">
        <v>30</v>
      </c>
      <c r="X635" t="s">
        <v>819</v>
      </c>
      <c r="Y635" t="s">
        <v>830</v>
      </c>
      <c r="Z635" t="b">
        <v>0</v>
      </c>
      <c r="AA635" t="s">
        <v>44</v>
      </c>
      <c r="AB635" t="s">
        <v>45</v>
      </c>
      <c r="AC635" t="s">
        <v>158</v>
      </c>
    </row>
    <row r="636" spans="2:29" x14ac:dyDescent="0.35">
      <c r="B636" t="s">
        <v>829</v>
      </c>
      <c r="C636">
        <v>72.3</v>
      </c>
      <c r="D636" t="s">
        <v>39</v>
      </c>
      <c r="E636" s="10">
        <v>112.57097668512</v>
      </c>
      <c r="F636" t="s">
        <v>30</v>
      </c>
      <c r="G636" s="14">
        <v>46113</v>
      </c>
      <c r="H636">
        <v>10752</v>
      </c>
      <c r="I636">
        <v>777369.59999999998</v>
      </c>
      <c r="J636">
        <v>817.42410456000005</v>
      </c>
      <c r="K636" t="s">
        <v>817</v>
      </c>
      <c r="L636" s="9" t="s">
        <v>818</v>
      </c>
      <c r="M636" t="s">
        <v>42</v>
      </c>
      <c r="N636" s="12">
        <v>497.35196518019205</v>
      </c>
      <c r="O636" s="13">
        <v>4.4181189488243433</v>
      </c>
      <c r="P636" s="9" t="s">
        <v>829</v>
      </c>
      <c r="Q636">
        <v>391.73</v>
      </c>
      <c r="R636">
        <v>391.73</v>
      </c>
      <c r="S636" t="s">
        <v>39</v>
      </c>
      <c r="T636">
        <v>609.92294186531205</v>
      </c>
      <c r="U636">
        <v>7648919.9800000004</v>
      </c>
      <c r="V636">
        <v>11909355.362862084</v>
      </c>
      <c r="W636" t="s">
        <v>30</v>
      </c>
      <c r="X636" t="s">
        <v>819</v>
      </c>
      <c r="Y636" t="s">
        <v>830</v>
      </c>
      <c r="Z636" t="b">
        <v>0</v>
      </c>
      <c r="AA636" t="s">
        <v>44</v>
      </c>
      <c r="AB636" t="s">
        <v>45</v>
      </c>
      <c r="AC636" t="s">
        <v>158</v>
      </c>
    </row>
    <row r="637" spans="2:29" x14ac:dyDescent="0.35">
      <c r="B637" t="s">
        <v>831</v>
      </c>
      <c r="C637">
        <v>765</v>
      </c>
      <c r="D637" t="s">
        <v>39</v>
      </c>
      <c r="E637" s="10">
        <v>1191.103695216</v>
      </c>
      <c r="F637" t="s">
        <v>30</v>
      </c>
      <c r="G637" s="14">
        <v>46113</v>
      </c>
      <c r="H637">
        <v>9346</v>
      </c>
      <c r="I637">
        <v>7149690</v>
      </c>
      <c r="J637">
        <v>2115.4125025378999</v>
      </c>
      <c r="K637" t="s">
        <v>817</v>
      </c>
      <c r="L637" s="9" t="s">
        <v>818</v>
      </c>
      <c r="M637" t="s">
        <v>42</v>
      </c>
      <c r="N637" s="12">
        <v>913.63102917097603</v>
      </c>
      <c r="O637" s="13">
        <v>0.76704575163398692</v>
      </c>
      <c r="P637" s="9" t="s">
        <v>831</v>
      </c>
      <c r="Q637">
        <v>178.21</v>
      </c>
      <c r="R637">
        <v>178.21</v>
      </c>
      <c r="S637" t="s">
        <v>39</v>
      </c>
      <c r="T637">
        <v>277.47266604502403</v>
      </c>
      <c r="U637">
        <v>3160019.72</v>
      </c>
      <c r="V637">
        <v>4920145.3143103663</v>
      </c>
      <c r="W637" t="s">
        <v>30</v>
      </c>
      <c r="X637" t="s">
        <v>819</v>
      </c>
      <c r="Y637" t="s">
        <v>832</v>
      </c>
      <c r="Z637" t="b">
        <v>0</v>
      </c>
      <c r="AA637" t="s">
        <v>44</v>
      </c>
      <c r="AB637" t="s">
        <v>45</v>
      </c>
      <c r="AC637" t="s">
        <v>175</v>
      </c>
    </row>
    <row r="638" spans="2:29" x14ac:dyDescent="0.35">
      <c r="B638" t="s">
        <v>831</v>
      </c>
      <c r="C638">
        <v>314.02</v>
      </c>
      <c r="D638" t="s">
        <v>39</v>
      </c>
      <c r="E638" s="10">
        <v>488.92860440748797</v>
      </c>
      <c r="F638" t="s">
        <v>30</v>
      </c>
      <c r="G638" s="14">
        <v>46113</v>
      </c>
      <c r="H638">
        <v>3454</v>
      </c>
      <c r="I638">
        <v>1084625.0799999998</v>
      </c>
      <c r="J638">
        <v>705.12104773358999</v>
      </c>
      <c r="K638" t="s">
        <v>817</v>
      </c>
      <c r="L638" s="9" t="s">
        <v>818</v>
      </c>
      <c r="M638" t="s">
        <v>42</v>
      </c>
      <c r="N638" s="12">
        <v>541.11918723577605</v>
      </c>
      <c r="O638" s="13">
        <v>1.1067447933252661</v>
      </c>
      <c r="P638" s="9" t="s">
        <v>831</v>
      </c>
      <c r="Q638">
        <v>661.56</v>
      </c>
      <c r="R638">
        <v>661.56</v>
      </c>
      <c r="S638" t="s">
        <v>39</v>
      </c>
      <c r="T638">
        <v>1030.047791643264</v>
      </c>
      <c r="U638">
        <v>11736074.399999999</v>
      </c>
      <c r="V638">
        <v>18273047.823751502</v>
      </c>
      <c r="W638" t="s">
        <v>30</v>
      </c>
      <c r="X638" t="s">
        <v>819</v>
      </c>
      <c r="Y638" t="s">
        <v>832</v>
      </c>
      <c r="Z638" t="b">
        <v>0</v>
      </c>
      <c r="AA638" t="s">
        <v>44</v>
      </c>
      <c r="AB638" t="s">
        <v>45</v>
      </c>
      <c r="AC638" t="s">
        <v>175</v>
      </c>
    </row>
    <row r="639" spans="2:29" x14ac:dyDescent="0.35">
      <c r="B639" t="s">
        <v>831</v>
      </c>
      <c r="C639">
        <v>787.79</v>
      </c>
      <c r="D639" t="s">
        <v>39</v>
      </c>
      <c r="E639" s="10">
        <v>1226.5876863453759</v>
      </c>
      <c r="F639" t="s">
        <v>30</v>
      </c>
      <c r="G639" s="14">
        <v>46113</v>
      </c>
      <c r="H639">
        <v>7639</v>
      </c>
      <c r="I639">
        <v>6017927.8099999996</v>
      </c>
      <c r="J639">
        <v>2820.5335502714902</v>
      </c>
      <c r="K639" t="s">
        <v>817</v>
      </c>
      <c r="L639" s="9" t="s">
        <v>818</v>
      </c>
      <c r="M639" t="s">
        <v>42</v>
      </c>
      <c r="N639" s="12">
        <v>63.13628083792014</v>
      </c>
      <c r="O639" s="13">
        <v>5.1473108315667995E-2</v>
      </c>
      <c r="P639" s="9" t="s">
        <v>831</v>
      </c>
      <c r="Q639">
        <v>828.34</v>
      </c>
      <c r="R639">
        <v>828.34</v>
      </c>
      <c r="S639" t="s">
        <v>39</v>
      </c>
      <c r="T639">
        <v>1289.7239671832961</v>
      </c>
      <c r="U639">
        <v>8362092.3000000007</v>
      </c>
      <c r="V639">
        <v>13019763.448715374</v>
      </c>
      <c r="W639" t="s">
        <v>30</v>
      </c>
      <c r="X639" t="s">
        <v>819</v>
      </c>
      <c r="Y639" t="s">
        <v>832</v>
      </c>
      <c r="Z639" t="b">
        <v>0</v>
      </c>
      <c r="AA639" t="s">
        <v>44</v>
      </c>
      <c r="AB639" t="s">
        <v>45</v>
      </c>
      <c r="AC639" t="s">
        <v>175</v>
      </c>
    </row>
    <row r="640" spans="2:29" x14ac:dyDescent="0.35">
      <c r="B640" t="s">
        <v>833</v>
      </c>
      <c r="C640">
        <v>238.34</v>
      </c>
      <c r="D640" t="s">
        <v>39</v>
      </c>
      <c r="E640" s="10">
        <v>371.09497348729599</v>
      </c>
      <c r="F640" t="s">
        <v>30</v>
      </c>
      <c r="G640" s="14">
        <v>46113</v>
      </c>
      <c r="H640">
        <v>19499</v>
      </c>
      <c r="I640">
        <v>4647391.66</v>
      </c>
      <c r="J640">
        <v>7719.5766798580598</v>
      </c>
      <c r="K640" t="s">
        <v>817</v>
      </c>
      <c r="L640" s="9" t="s">
        <v>818</v>
      </c>
      <c r="M640" t="s">
        <v>42</v>
      </c>
      <c r="N640" s="12">
        <v>142.93244342592004</v>
      </c>
      <c r="O640" s="13">
        <v>0.38516405135520698</v>
      </c>
      <c r="P640" s="9" t="s">
        <v>833</v>
      </c>
      <c r="Q640">
        <v>330.14</v>
      </c>
      <c r="R640">
        <v>330.14</v>
      </c>
      <c r="S640" t="s">
        <v>39</v>
      </c>
      <c r="T640">
        <v>514.02741691321603</v>
      </c>
      <c r="U640">
        <v>2729267.38</v>
      </c>
      <c r="V640">
        <v>4249464.6556215566</v>
      </c>
      <c r="W640" t="s">
        <v>30</v>
      </c>
      <c r="X640" t="s">
        <v>819</v>
      </c>
      <c r="Y640" t="s">
        <v>834</v>
      </c>
      <c r="Z640" t="b">
        <v>0</v>
      </c>
      <c r="AA640" t="s">
        <v>44</v>
      </c>
      <c r="AB640" t="s">
        <v>45</v>
      </c>
      <c r="AC640" t="s">
        <v>158</v>
      </c>
    </row>
    <row r="641" spans="2:29" x14ac:dyDescent="0.35">
      <c r="B641" t="s">
        <v>833</v>
      </c>
      <c r="C641">
        <v>111.67</v>
      </c>
      <c r="D641" t="s">
        <v>39</v>
      </c>
      <c r="E641" s="10">
        <v>173.86999953564802</v>
      </c>
      <c r="F641" t="s">
        <v>30</v>
      </c>
      <c r="G641" s="14">
        <v>46113</v>
      </c>
      <c r="H641">
        <v>3267</v>
      </c>
      <c r="I641">
        <v>364825.89</v>
      </c>
      <c r="J641">
        <v>11763.1644645456</v>
      </c>
      <c r="K641" t="s">
        <v>817</v>
      </c>
      <c r="L641" s="9" t="s">
        <v>818</v>
      </c>
      <c r="M641" t="s">
        <v>42</v>
      </c>
      <c r="N641" s="12">
        <v>423.47239611091197</v>
      </c>
      <c r="O641" s="13">
        <v>2.4355690874899252</v>
      </c>
      <c r="P641" s="9" t="s">
        <v>833</v>
      </c>
      <c r="Q641">
        <v>383.65</v>
      </c>
      <c r="R641">
        <v>383.65</v>
      </c>
      <c r="S641" t="s">
        <v>39</v>
      </c>
      <c r="T641">
        <v>597.34239564656002</v>
      </c>
      <c r="U641">
        <v>1656600.7</v>
      </c>
      <c r="V641">
        <v>2579324.4644018463</v>
      </c>
      <c r="W641" t="s">
        <v>30</v>
      </c>
      <c r="X641" t="s">
        <v>819</v>
      </c>
      <c r="Y641" t="s">
        <v>834</v>
      </c>
      <c r="Z641" t="b">
        <v>0</v>
      </c>
      <c r="AA641" t="s">
        <v>44</v>
      </c>
      <c r="AB641" t="s">
        <v>45</v>
      </c>
      <c r="AC641" t="s">
        <v>158</v>
      </c>
    </row>
    <row r="642" spans="2:29" x14ac:dyDescent="0.35">
      <c r="B642" t="s">
        <v>833</v>
      </c>
      <c r="C642">
        <v>279.99</v>
      </c>
      <c r="D642" t="s">
        <v>39</v>
      </c>
      <c r="E642" s="10">
        <v>435.94395244905604</v>
      </c>
      <c r="F642" t="s">
        <v>30</v>
      </c>
      <c r="G642" s="14">
        <v>46113</v>
      </c>
      <c r="H642">
        <v>5999</v>
      </c>
      <c r="I642">
        <v>1679660.01</v>
      </c>
      <c r="J642">
        <v>15019.0403431252</v>
      </c>
      <c r="K642" t="s">
        <v>817</v>
      </c>
      <c r="L642" s="9" t="s">
        <v>818</v>
      </c>
      <c r="M642" t="s">
        <v>42</v>
      </c>
      <c r="N642" s="12">
        <v>48.204667194624051</v>
      </c>
      <c r="O642" s="13">
        <v>0.11057537769206054</v>
      </c>
      <c r="P642" s="9" t="s">
        <v>833</v>
      </c>
      <c r="Q642">
        <v>249.03</v>
      </c>
      <c r="R642">
        <v>249.03</v>
      </c>
      <c r="S642" t="s">
        <v>39</v>
      </c>
      <c r="T642">
        <v>387.73928525443199</v>
      </c>
      <c r="U642">
        <v>1328076.99</v>
      </c>
      <c r="V642">
        <v>2067813.6082618858</v>
      </c>
      <c r="W642" t="s">
        <v>30</v>
      </c>
      <c r="X642" t="s">
        <v>819</v>
      </c>
      <c r="Y642" t="s">
        <v>834</v>
      </c>
      <c r="Z642" t="b">
        <v>0</v>
      </c>
      <c r="AA642" t="s">
        <v>44</v>
      </c>
      <c r="AB642" t="s">
        <v>45</v>
      </c>
      <c r="AC642" t="s">
        <v>158</v>
      </c>
    </row>
    <row r="643" spans="2:29" x14ac:dyDescent="0.35">
      <c r="B643" t="s">
        <v>833</v>
      </c>
      <c r="C643">
        <v>440.35</v>
      </c>
      <c r="D643" t="s">
        <v>39</v>
      </c>
      <c r="E643" s="10">
        <v>685.62419893904007</v>
      </c>
      <c r="F643" t="s">
        <v>30</v>
      </c>
      <c r="G643" s="14">
        <v>46113</v>
      </c>
      <c r="H643">
        <v>450</v>
      </c>
      <c r="I643">
        <v>198157.5</v>
      </c>
      <c r="J643">
        <v>4831.2996907955203</v>
      </c>
      <c r="K643" t="s">
        <v>817</v>
      </c>
      <c r="L643" s="9" t="s">
        <v>818</v>
      </c>
      <c r="M643" t="s">
        <v>42</v>
      </c>
      <c r="N643" s="12">
        <v>379.45605432822407</v>
      </c>
      <c r="O643" s="13">
        <v>0.55344612240263436</v>
      </c>
      <c r="P643" s="9" t="s">
        <v>833</v>
      </c>
      <c r="Q643">
        <v>196.64</v>
      </c>
      <c r="R643">
        <v>196.64</v>
      </c>
      <c r="S643" t="s">
        <v>39</v>
      </c>
      <c r="T643">
        <v>306.168144610816</v>
      </c>
      <c r="U643">
        <v>3313777.28</v>
      </c>
      <c r="V643">
        <v>5159545.5729814712</v>
      </c>
      <c r="W643" t="s">
        <v>30</v>
      </c>
      <c r="X643" t="s">
        <v>819</v>
      </c>
      <c r="Y643" t="s">
        <v>834</v>
      </c>
      <c r="Z643" t="b">
        <v>0</v>
      </c>
      <c r="AA643" t="s">
        <v>44</v>
      </c>
      <c r="AB643" t="s">
        <v>45</v>
      </c>
      <c r="AC643" t="s">
        <v>158</v>
      </c>
    </row>
    <row r="644" spans="2:29" x14ac:dyDescent="0.35">
      <c r="B644" t="s">
        <v>833</v>
      </c>
      <c r="C644">
        <v>313.88</v>
      </c>
      <c r="D644" t="s">
        <v>39</v>
      </c>
      <c r="E644" s="10">
        <v>488.71062464627198</v>
      </c>
      <c r="F644" t="s">
        <v>30</v>
      </c>
      <c r="G644" s="14">
        <v>46113</v>
      </c>
      <c r="H644">
        <v>7852</v>
      </c>
      <c r="I644">
        <v>2464585.7599999998</v>
      </c>
      <c r="J644">
        <v>13968.7578016479</v>
      </c>
      <c r="K644" t="s">
        <v>817</v>
      </c>
      <c r="L644" s="9" t="s">
        <v>818</v>
      </c>
      <c r="M644" t="s">
        <v>42</v>
      </c>
      <c r="N644" s="12">
        <v>950.79657845830388</v>
      </c>
      <c r="O644" s="13">
        <v>1.9455205811138012</v>
      </c>
      <c r="P644" s="9" t="s">
        <v>833</v>
      </c>
      <c r="Q644">
        <v>924.54</v>
      </c>
      <c r="R644">
        <v>924.54</v>
      </c>
      <c r="S644" t="s">
        <v>39</v>
      </c>
      <c r="T644">
        <v>1439.5072031045759</v>
      </c>
      <c r="U644">
        <v>6759311.9399999995</v>
      </c>
      <c r="V644">
        <v>10524237.161897555</v>
      </c>
      <c r="W644" t="s">
        <v>30</v>
      </c>
      <c r="X644" t="s">
        <v>819</v>
      </c>
      <c r="Y644" t="s">
        <v>834</v>
      </c>
      <c r="Z644" t="b">
        <v>0</v>
      </c>
      <c r="AA644" t="s">
        <v>44</v>
      </c>
      <c r="AB644" t="s">
        <v>45</v>
      </c>
      <c r="AC644" t="s">
        <v>158</v>
      </c>
    </row>
    <row r="645" spans="2:29" x14ac:dyDescent="0.35">
      <c r="B645" t="s">
        <v>835</v>
      </c>
      <c r="C645">
        <v>796.53</v>
      </c>
      <c r="D645" t="s">
        <v>39</v>
      </c>
      <c r="E645" s="10">
        <v>1240.1958514384321</v>
      </c>
      <c r="F645" t="s">
        <v>30</v>
      </c>
      <c r="G645" s="14">
        <v>46113</v>
      </c>
      <c r="H645">
        <v>741</v>
      </c>
      <c r="I645">
        <v>590228.73</v>
      </c>
      <c r="J645">
        <v>25846.086986332801</v>
      </c>
      <c r="K645" t="s">
        <v>817</v>
      </c>
      <c r="L645" s="9" t="s">
        <v>818</v>
      </c>
      <c r="M645" t="s">
        <v>42</v>
      </c>
      <c r="N645" s="12">
        <v>319.58946990854406</v>
      </c>
      <c r="O645" s="13">
        <v>0.25769274226959438</v>
      </c>
      <c r="P645" s="9" t="s">
        <v>835</v>
      </c>
      <c r="Q645">
        <v>591.27</v>
      </c>
      <c r="R645">
        <v>591.27</v>
      </c>
      <c r="S645" t="s">
        <v>39</v>
      </c>
      <c r="T645">
        <v>920.60638152988804</v>
      </c>
      <c r="U645">
        <v>9397054.1099999994</v>
      </c>
      <c r="V645">
        <v>14631197.22165451</v>
      </c>
      <c r="W645" t="s">
        <v>30</v>
      </c>
      <c r="X645" t="s">
        <v>819</v>
      </c>
      <c r="Y645" t="s">
        <v>836</v>
      </c>
      <c r="Z645" t="b">
        <v>0</v>
      </c>
      <c r="AA645" t="s">
        <v>44</v>
      </c>
      <c r="AB645" t="s">
        <v>45</v>
      </c>
      <c r="AC645" t="s">
        <v>837</v>
      </c>
    </row>
    <row r="646" spans="2:29" x14ac:dyDescent="0.35">
      <c r="B646" t="s">
        <v>835</v>
      </c>
      <c r="C646">
        <v>899.3</v>
      </c>
      <c r="D646" t="s">
        <v>39</v>
      </c>
      <c r="E646" s="10">
        <v>1400.2085661539199</v>
      </c>
      <c r="F646" t="s">
        <v>30</v>
      </c>
      <c r="G646" s="14">
        <v>46113</v>
      </c>
      <c r="H646">
        <v>6770</v>
      </c>
      <c r="I646">
        <v>6088261</v>
      </c>
      <c r="J646">
        <v>8042.7142374798796</v>
      </c>
      <c r="K646" t="s">
        <v>817</v>
      </c>
      <c r="L646" s="9" t="s">
        <v>818</v>
      </c>
      <c r="M646" t="s">
        <v>42</v>
      </c>
      <c r="N646" s="12">
        <v>929.79267146684788</v>
      </c>
      <c r="O646" s="13">
        <v>0.66403869676414984</v>
      </c>
      <c r="P646" s="9" t="s">
        <v>835</v>
      </c>
      <c r="Q646">
        <v>302.13</v>
      </c>
      <c r="R646">
        <v>302.13</v>
      </c>
      <c r="S646" t="s">
        <v>39</v>
      </c>
      <c r="T646">
        <v>470.41589468707201</v>
      </c>
      <c r="U646">
        <v>4715645.04</v>
      </c>
      <c r="V646">
        <v>7342251.2842758195</v>
      </c>
      <c r="W646" t="s">
        <v>30</v>
      </c>
      <c r="X646" t="s">
        <v>819</v>
      </c>
      <c r="Y646" t="s">
        <v>836</v>
      </c>
      <c r="Z646" t="b">
        <v>0</v>
      </c>
      <c r="AA646" t="s">
        <v>44</v>
      </c>
      <c r="AB646" t="s">
        <v>45</v>
      </c>
      <c r="AC646" t="s">
        <v>837</v>
      </c>
    </row>
    <row r="647" spans="2:29" x14ac:dyDescent="0.35">
      <c r="B647" t="s">
        <v>835</v>
      </c>
      <c r="C647">
        <v>533.61</v>
      </c>
      <c r="D647" t="s">
        <v>39</v>
      </c>
      <c r="E647" s="10">
        <v>830.82985987478401</v>
      </c>
      <c r="F647" t="s">
        <v>30</v>
      </c>
      <c r="G647" s="14">
        <v>46113</v>
      </c>
      <c r="H647">
        <v>18716</v>
      </c>
      <c r="I647">
        <v>9987044.7599999998</v>
      </c>
      <c r="J647">
        <v>2726.4390052465201</v>
      </c>
      <c r="K647" t="s">
        <v>817</v>
      </c>
      <c r="L647" s="9" t="s">
        <v>818</v>
      </c>
      <c r="M647" t="s">
        <v>42</v>
      </c>
      <c r="N647" s="12">
        <v>195.85481545257608</v>
      </c>
      <c r="O647" s="13">
        <v>0.23573396300669036</v>
      </c>
      <c r="P647" s="9" t="s">
        <v>835</v>
      </c>
      <c r="Q647">
        <v>659.4</v>
      </c>
      <c r="R647">
        <v>659.4</v>
      </c>
      <c r="S647" t="s">
        <v>39</v>
      </c>
      <c r="T647">
        <v>1026.6846753273601</v>
      </c>
      <c r="U647">
        <v>9540199.1999999993</v>
      </c>
      <c r="V647">
        <v>14854073.882636245</v>
      </c>
      <c r="W647" t="s">
        <v>30</v>
      </c>
      <c r="X647" t="s">
        <v>819</v>
      </c>
      <c r="Y647" t="s">
        <v>836</v>
      </c>
      <c r="Z647" t="b">
        <v>0</v>
      </c>
      <c r="AA647" t="s">
        <v>44</v>
      </c>
      <c r="AB647" t="s">
        <v>45</v>
      </c>
      <c r="AC647" t="s">
        <v>837</v>
      </c>
    </row>
    <row r="648" spans="2:29" x14ac:dyDescent="0.35">
      <c r="B648" t="s">
        <v>835</v>
      </c>
      <c r="C648">
        <v>337.03</v>
      </c>
      <c r="D648" t="s">
        <v>39</v>
      </c>
      <c r="E648" s="10">
        <v>524.75513516163198</v>
      </c>
      <c r="F648" t="s">
        <v>30</v>
      </c>
      <c r="G648" s="14">
        <v>46113</v>
      </c>
      <c r="H648">
        <v>7357</v>
      </c>
      <c r="I648">
        <v>2479529.71</v>
      </c>
      <c r="J648">
        <v>15794.830936092299</v>
      </c>
      <c r="K648" t="s">
        <v>817</v>
      </c>
      <c r="L648" s="9" t="s">
        <v>818</v>
      </c>
      <c r="M648" t="s">
        <v>42</v>
      </c>
      <c r="N648" s="12">
        <v>954.00399494476812</v>
      </c>
      <c r="O648" s="13">
        <v>1.8179983977687448</v>
      </c>
      <c r="P648" s="9" t="s">
        <v>835</v>
      </c>
      <c r="Q648">
        <v>949.75</v>
      </c>
      <c r="R648">
        <v>949.75</v>
      </c>
      <c r="S648" t="s">
        <v>39</v>
      </c>
      <c r="T648">
        <v>1478.7591301064001</v>
      </c>
      <c r="U648">
        <v>9356937</v>
      </c>
      <c r="V648">
        <v>14568734.949808253</v>
      </c>
      <c r="W648" t="s">
        <v>30</v>
      </c>
      <c r="X648" t="s">
        <v>819</v>
      </c>
      <c r="Y648" t="s">
        <v>836</v>
      </c>
      <c r="Z648" t="b">
        <v>0</v>
      </c>
      <c r="AA648" t="s">
        <v>44</v>
      </c>
      <c r="AB648" t="s">
        <v>45</v>
      </c>
      <c r="AC648" t="s">
        <v>837</v>
      </c>
    </row>
    <row r="649" spans="2:29" x14ac:dyDescent="0.35">
      <c r="B649" t="s">
        <v>835</v>
      </c>
      <c r="C649">
        <v>571.58000000000004</v>
      </c>
      <c r="D649" t="s">
        <v>39</v>
      </c>
      <c r="E649" s="10">
        <v>889.94908511315214</v>
      </c>
      <c r="F649" t="s">
        <v>30</v>
      </c>
      <c r="G649" s="14">
        <v>46113</v>
      </c>
      <c r="H649">
        <v>5827</v>
      </c>
      <c r="I649">
        <v>3330596.66</v>
      </c>
      <c r="J649">
        <v>6461.5217465832002</v>
      </c>
      <c r="K649" t="s">
        <v>817</v>
      </c>
      <c r="L649" s="9" t="s">
        <v>818</v>
      </c>
      <c r="M649" t="s">
        <v>42</v>
      </c>
      <c r="N649" s="12">
        <v>386.96078610723208</v>
      </c>
      <c r="O649" s="13">
        <v>0.43481227474719203</v>
      </c>
      <c r="P649" s="9" t="s">
        <v>835</v>
      </c>
      <c r="Q649">
        <v>323.05</v>
      </c>
      <c r="R649">
        <v>323.05</v>
      </c>
      <c r="S649" t="s">
        <v>39</v>
      </c>
      <c r="T649">
        <v>502.98829900592006</v>
      </c>
      <c r="U649">
        <v>2179618.35</v>
      </c>
      <c r="V649">
        <v>3393662.0533929425</v>
      </c>
      <c r="W649" t="s">
        <v>30</v>
      </c>
      <c r="X649" t="s">
        <v>819</v>
      </c>
      <c r="Y649" t="s">
        <v>836</v>
      </c>
      <c r="Z649" t="b">
        <v>0</v>
      </c>
      <c r="AA649" t="s">
        <v>44</v>
      </c>
      <c r="AB649" t="s">
        <v>45</v>
      </c>
      <c r="AC649" t="s">
        <v>837</v>
      </c>
    </row>
    <row r="650" spans="2:29" x14ac:dyDescent="0.35">
      <c r="B650" t="s">
        <v>835</v>
      </c>
      <c r="C650">
        <v>273.49</v>
      </c>
      <c r="D650" t="s">
        <v>39</v>
      </c>
      <c r="E650" s="10">
        <v>425.82346353545603</v>
      </c>
      <c r="F650" t="s">
        <v>30</v>
      </c>
      <c r="G650" s="14">
        <v>46113</v>
      </c>
      <c r="H650">
        <v>5135</v>
      </c>
      <c r="I650">
        <v>1404371.1500000001</v>
      </c>
      <c r="J650">
        <v>5025.5364736205502</v>
      </c>
      <c r="K650" t="s">
        <v>817</v>
      </c>
      <c r="L650" s="9" t="s">
        <v>818</v>
      </c>
      <c r="M650" t="s">
        <v>42</v>
      </c>
      <c r="N650" s="12">
        <v>823.01372843689592</v>
      </c>
      <c r="O650" s="13">
        <v>1.9327580533109068</v>
      </c>
      <c r="P650" s="9" t="s">
        <v>835</v>
      </c>
      <c r="Q650">
        <v>802.08</v>
      </c>
      <c r="R650">
        <v>802.08</v>
      </c>
      <c r="S650" t="s">
        <v>39</v>
      </c>
      <c r="T650">
        <v>1248.837191972352</v>
      </c>
      <c r="U650">
        <v>4552606.08</v>
      </c>
      <c r="V650">
        <v>7088399.9016350703</v>
      </c>
      <c r="W650" t="s">
        <v>30</v>
      </c>
      <c r="X650" t="s">
        <v>819</v>
      </c>
      <c r="Y650" t="s">
        <v>836</v>
      </c>
      <c r="Z650" t="b">
        <v>0</v>
      </c>
      <c r="AA650" t="s">
        <v>44</v>
      </c>
      <c r="AB650" t="s">
        <v>45</v>
      </c>
      <c r="AC650" t="s">
        <v>837</v>
      </c>
    </row>
    <row r="651" spans="2:29" x14ac:dyDescent="0.35">
      <c r="B651" t="s">
        <v>835</v>
      </c>
      <c r="C651">
        <v>243</v>
      </c>
      <c r="D651" t="s">
        <v>39</v>
      </c>
      <c r="E651" s="10">
        <v>378.35058553919998</v>
      </c>
      <c r="F651" t="s">
        <v>30</v>
      </c>
      <c r="G651" s="14">
        <v>46113</v>
      </c>
      <c r="H651">
        <v>9287</v>
      </c>
      <c r="I651">
        <v>2256741</v>
      </c>
      <c r="J651">
        <v>5743.57488585173</v>
      </c>
      <c r="K651" t="s">
        <v>817</v>
      </c>
      <c r="L651" s="9" t="s">
        <v>818</v>
      </c>
      <c r="M651" t="s">
        <v>42</v>
      </c>
      <c r="N651" s="12">
        <v>131.28609618380801</v>
      </c>
      <c r="O651" s="13">
        <v>0.34699588477366261</v>
      </c>
      <c r="P651" s="9" t="s">
        <v>835</v>
      </c>
      <c r="Q651">
        <v>327.32</v>
      </c>
      <c r="R651">
        <v>327.32</v>
      </c>
      <c r="S651" t="s">
        <v>39</v>
      </c>
      <c r="T651">
        <v>509.636681723008</v>
      </c>
      <c r="U651">
        <v>852668.6</v>
      </c>
      <c r="V651">
        <v>1327603.5558884358</v>
      </c>
      <c r="W651" t="s">
        <v>30</v>
      </c>
      <c r="X651" t="s">
        <v>819</v>
      </c>
      <c r="Y651" t="s">
        <v>836</v>
      </c>
      <c r="Z651" t="b">
        <v>0</v>
      </c>
      <c r="AA651" t="s">
        <v>44</v>
      </c>
      <c r="AB651" t="s">
        <v>45</v>
      </c>
      <c r="AC651" t="s">
        <v>837</v>
      </c>
    </row>
    <row r="652" spans="2:29" x14ac:dyDescent="0.35">
      <c r="B652" t="s">
        <v>838</v>
      </c>
      <c r="C652">
        <v>111.28</v>
      </c>
      <c r="D652" t="s">
        <v>39</v>
      </c>
      <c r="E652" s="10">
        <v>173.26277020083199</v>
      </c>
      <c r="F652" t="s">
        <v>30</v>
      </c>
      <c r="G652" s="14">
        <v>46113</v>
      </c>
      <c r="H652">
        <v>5010</v>
      </c>
      <c r="I652">
        <v>557512.80000000005</v>
      </c>
      <c r="J652">
        <v>11076.8944227141</v>
      </c>
      <c r="K652" t="s">
        <v>817</v>
      </c>
      <c r="L652" s="9" t="s">
        <v>818</v>
      </c>
      <c r="M652" t="s">
        <v>42</v>
      </c>
      <c r="N652" s="12">
        <v>24.226893460864005</v>
      </c>
      <c r="O652" s="13">
        <v>0.13982746225736883</v>
      </c>
      <c r="P652" s="9" t="s">
        <v>838</v>
      </c>
      <c r="Q652">
        <v>126.84</v>
      </c>
      <c r="R652">
        <v>126.84</v>
      </c>
      <c r="S652" t="s">
        <v>39</v>
      </c>
      <c r="T652">
        <v>197.489663661696</v>
      </c>
      <c r="U652">
        <v>2489235</v>
      </c>
      <c r="V652">
        <v>3875734.6493607839</v>
      </c>
      <c r="W652" t="s">
        <v>30</v>
      </c>
      <c r="X652" t="s">
        <v>819</v>
      </c>
      <c r="Y652" t="s">
        <v>839</v>
      </c>
      <c r="Z652" t="b">
        <v>0</v>
      </c>
      <c r="AA652" t="s">
        <v>44</v>
      </c>
      <c r="AB652" t="s">
        <v>45</v>
      </c>
      <c r="AC652" t="s">
        <v>837</v>
      </c>
    </row>
    <row r="653" spans="2:29" x14ac:dyDescent="0.35">
      <c r="B653" t="s">
        <v>838</v>
      </c>
      <c r="C653">
        <v>882.04</v>
      </c>
      <c r="D653" t="s">
        <v>39</v>
      </c>
      <c r="E653" s="10">
        <v>1373.3347755925761</v>
      </c>
      <c r="F653" t="s">
        <v>30</v>
      </c>
      <c r="G653" s="14">
        <v>46113</v>
      </c>
      <c r="H653">
        <v>4684</v>
      </c>
      <c r="I653">
        <v>4131475.36</v>
      </c>
      <c r="J653">
        <v>974.37420363040303</v>
      </c>
      <c r="K653" t="s">
        <v>817</v>
      </c>
      <c r="L653" s="9" t="s">
        <v>818</v>
      </c>
      <c r="M653" t="s">
        <v>42</v>
      </c>
      <c r="N653" s="12">
        <v>309.88937053443215</v>
      </c>
      <c r="O653" s="13">
        <v>0.22564736293138643</v>
      </c>
      <c r="P653" s="9" t="s">
        <v>838</v>
      </c>
      <c r="Q653">
        <v>683.01</v>
      </c>
      <c r="R653">
        <v>683.01</v>
      </c>
      <c r="S653" t="s">
        <v>39</v>
      </c>
      <c r="T653">
        <v>1063.4454050581439</v>
      </c>
      <c r="U653">
        <v>5199755.13</v>
      </c>
      <c r="V653">
        <v>8096009.8687076494</v>
      </c>
      <c r="W653" t="s">
        <v>30</v>
      </c>
      <c r="X653" t="s">
        <v>819</v>
      </c>
      <c r="Y653" t="s">
        <v>839</v>
      </c>
      <c r="Z653" t="b">
        <v>0</v>
      </c>
      <c r="AA653" t="s">
        <v>44</v>
      </c>
      <c r="AB653" t="s">
        <v>45</v>
      </c>
      <c r="AC653" t="s">
        <v>837</v>
      </c>
    </row>
    <row r="654" spans="2:29" x14ac:dyDescent="0.35">
      <c r="B654" t="s">
        <v>838</v>
      </c>
      <c r="C654">
        <v>436.43</v>
      </c>
      <c r="D654" t="s">
        <v>39</v>
      </c>
      <c r="E654" s="10">
        <v>679.52076562499201</v>
      </c>
      <c r="F654" t="s">
        <v>30</v>
      </c>
      <c r="G654" s="14">
        <v>46113</v>
      </c>
      <c r="H654">
        <v>8159</v>
      </c>
      <c r="I654">
        <v>3560832.37</v>
      </c>
      <c r="J654">
        <v>13965.775838514501</v>
      </c>
      <c r="K654" t="s">
        <v>817</v>
      </c>
      <c r="L654" s="9" t="s">
        <v>818</v>
      </c>
      <c r="M654" t="s">
        <v>42</v>
      </c>
      <c r="N654" s="12">
        <v>674.41381121936001</v>
      </c>
      <c r="O654" s="13">
        <v>0.99248447631922643</v>
      </c>
      <c r="P654" s="9" t="s">
        <v>838</v>
      </c>
      <c r="Q654">
        <v>3.2800000000000002</v>
      </c>
      <c r="R654">
        <v>3.2800000000000002</v>
      </c>
      <c r="S654" t="s">
        <v>39</v>
      </c>
      <c r="T654">
        <v>5.1069544056320009</v>
      </c>
      <c r="U654">
        <v>6113.92</v>
      </c>
      <c r="V654">
        <v>9519.3630120980488</v>
      </c>
      <c r="W654" t="s">
        <v>30</v>
      </c>
      <c r="X654" t="s">
        <v>819</v>
      </c>
      <c r="Y654" t="s">
        <v>839</v>
      </c>
      <c r="Z654" t="b">
        <v>0</v>
      </c>
      <c r="AA654" t="s">
        <v>44</v>
      </c>
      <c r="AB654" t="s">
        <v>45</v>
      </c>
      <c r="AC654" t="s">
        <v>837</v>
      </c>
    </row>
    <row r="655" spans="2:29" x14ac:dyDescent="0.35">
      <c r="B655" t="s">
        <v>838</v>
      </c>
      <c r="C655">
        <v>542.78</v>
      </c>
      <c r="D655" t="s">
        <v>39</v>
      </c>
      <c r="E655" s="10">
        <v>845.10753423443202</v>
      </c>
      <c r="F655" t="s">
        <v>30</v>
      </c>
      <c r="G655" s="14">
        <v>46113</v>
      </c>
      <c r="H655">
        <v>16575</v>
      </c>
      <c r="I655">
        <v>8996578.5</v>
      </c>
      <c r="J655">
        <v>18290.550975777802</v>
      </c>
      <c r="K655" t="s">
        <v>817</v>
      </c>
      <c r="L655" s="9" t="s">
        <v>818</v>
      </c>
      <c r="M655" t="s">
        <v>42</v>
      </c>
      <c r="N655" s="12">
        <v>536.99314175561585</v>
      </c>
      <c r="O655" s="13">
        <v>0.6354139798813514</v>
      </c>
      <c r="P655" s="9" t="s">
        <v>838</v>
      </c>
      <c r="Q655">
        <v>887.67</v>
      </c>
      <c r="R655">
        <v>887.67</v>
      </c>
      <c r="S655" t="s">
        <v>39</v>
      </c>
      <c r="T655">
        <v>1382.1006759900479</v>
      </c>
      <c r="U655">
        <v>456262.38</v>
      </c>
      <c r="V655">
        <v>710399.74745888461</v>
      </c>
      <c r="W655" t="s">
        <v>30</v>
      </c>
      <c r="X655" t="s">
        <v>819</v>
      </c>
      <c r="Y655" t="s">
        <v>839</v>
      </c>
      <c r="Z655" t="b">
        <v>0</v>
      </c>
      <c r="AA655" t="s">
        <v>44</v>
      </c>
      <c r="AB655" t="s">
        <v>45</v>
      </c>
      <c r="AC655" t="s">
        <v>837</v>
      </c>
    </row>
    <row r="656" spans="2:29" x14ac:dyDescent="0.35">
      <c r="B656" t="s">
        <v>838</v>
      </c>
      <c r="C656">
        <v>524.96</v>
      </c>
      <c r="D656" t="s">
        <v>39</v>
      </c>
      <c r="E656" s="10">
        <v>817.3618246282241</v>
      </c>
      <c r="F656" t="s">
        <v>30</v>
      </c>
      <c r="G656" s="14">
        <v>46113</v>
      </c>
      <c r="H656">
        <v>15348</v>
      </c>
      <c r="I656">
        <v>8057086.080000001</v>
      </c>
      <c r="J656">
        <v>1846.1490704523401</v>
      </c>
      <c r="K656" t="s">
        <v>817</v>
      </c>
      <c r="L656" s="9" t="s">
        <v>818</v>
      </c>
      <c r="M656" t="s">
        <v>42</v>
      </c>
      <c r="N656" s="12">
        <v>210.35046957344002</v>
      </c>
      <c r="O656" s="13">
        <v>0.25735294117647056</v>
      </c>
      <c r="P656" s="9" t="s">
        <v>838</v>
      </c>
      <c r="Q656">
        <v>389.86</v>
      </c>
      <c r="R656">
        <v>389.86</v>
      </c>
      <c r="S656" t="s">
        <v>39</v>
      </c>
      <c r="T656">
        <v>607.01135505478408</v>
      </c>
      <c r="U656">
        <v>7405390.7000000002</v>
      </c>
      <c r="V656">
        <v>11530180.689265624</v>
      </c>
      <c r="W656" t="s">
        <v>30</v>
      </c>
      <c r="X656" t="s">
        <v>819</v>
      </c>
      <c r="Y656" t="s">
        <v>839</v>
      </c>
      <c r="Z656" t="b">
        <v>0</v>
      </c>
      <c r="AA656" t="s">
        <v>44</v>
      </c>
      <c r="AB656" t="s">
        <v>45</v>
      </c>
      <c r="AC656" t="s">
        <v>837</v>
      </c>
    </row>
    <row r="657" spans="2:29" x14ac:dyDescent="0.35">
      <c r="B657" t="s">
        <v>838</v>
      </c>
      <c r="C657">
        <v>919.38</v>
      </c>
      <c r="D657" t="s">
        <v>39</v>
      </c>
      <c r="E657" s="10">
        <v>1431.4730919054721</v>
      </c>
      <c r="F657" t="s">
        <v>30</v>
      </c>
      <c r="G657" s="14">
        <v>46113</v>
      </c>
      <c r="H657">
        <v>4201</v>
      </c>
      <c r="I657">
        <v>3862315.38</v>
      </c>
      <c r="J657">
        <v>2717.9416870548398</v>
      </c>
      <c r="K657" t="s">
        <v>817</v>
      </c>
      <c r="L657" s="9" t="s">
        <v>818</v>
      </c>
      <c r="M657" t="s">
        <v>42</v>
      </c>
      <c r="N657" s="12">
        <v>670.66144532985606</v>
      </c>
      <c r="O657" s="13">
        <v>0.46851138810937809</v>
      </c>
      <c r="P657" s="9" t="s">
        <v>838</v>
      </c>
      <c r="Q657">
        <v>488.64</v>
      </c>
      <c r="R657">
        <v>488.64</v>
      </c>
      <c r="S657" t="s">
        <v>39</v>
      </c>
      <c r="T657">
        <v>760.81164657561601</v>
      </c>
      <c r="U657">
        <v>5227959.3599999994</v>
      </c>
      <c r="V657">
        <v>8139923.8067125157</v>
      </c>
      <c r="W657" t="s">
        <v>30</v>
      </c>
      <c r="X657" t="s">
        <v>819</v>
      </c>
      <c r="Y657" t="s">
        <v>839</v>
      </c>
      <c r="Z657" t="b">
        <v>0</v>
      </c>
      <c r="AA657" t="s">
        <v>44</v>
      </c>
      <c r="AB657" t="s">
        <v>45</v>
      </c>
      <c r="AC657" t="s">
        <v>837</v>
      </c>
    </row>
    <row r="658" spans="2:29" x14ac:dyDescent="0.35">
      <c r="B658" t="s">
        <v>838</v>
      </c>
      <c r="C658">
        <v>580.65</v>
      </c>
      <c r="D658" t="s">
        <v>39</v>
      </c>
      <c r="E658" s="10">
        <v>904.07105964335994</v>
      </c>
      <c r="F658" t="s">
        <v>30</v>
      </c>
      <c r="G658" s="14">
        <v>46113</v>
      </c>
      <c r="H658">
        <v>1320</v>
      </c>
      <c r="I658">
        <v>766458</v>
      </c>
      <c r="J658">
        <v>51.271642434933099</v>
      </c>
      <c r="K658" t="s">
        <v>817</v>
      </c>
      <c r="L658" s="9" t="s">
        <v>818</v>
      </c>
      <c r="M658" t="s">
        <v>42</v>
      </c>
      <c r="N658" s="12">
        <v>353.75001248768001</v>
      </c>
      <c r="O658" s="13">
        <v>0.39128562817532081</v>
      </c>
      <c r="P658" s="9" t="s">
        <v>838</v>
      </c>
      <c r="Q658">
        <v>807.85</v>
      </c>
      <c r="R658">
        <v>807.85</v>
      </c>
      <c r="S658" t="s">
        <v>39</v>
      </c>
      <c r="T658">
        <v>1257.82107213104</v>
      </c>
      <c r="U658">
        <v>14853130.1</v>
      </c>
      <c r="V658">
        <v>23126298.232201301</v>
      </c>
      <c r="W658" t="s">
        <v>30</v>
      </c>
      <c r="X658" t="s">
        <v>819</v>
      </c>
      <c r="Y658" t="s">
        <v>839</v>
      </c>
      <c r="Z658" t="b">
        <v>0</v>
      </c>
      <c r="AA658" t="s">
        <v>44</v>
      </c>
      <c r="AB658" t="s">
        <v>45</v>
      </c>
      <c r="AC658" t="s">
        <v>837</v>
      </c>
    </row>
    <row r="659" spans="2:29" x14ac:dyDescent="0.35">
      <c r="B659" t="s">
        <v>838</v>
      </c>
      <c r="C659">
        <v>319.57</v>
      </c>
      <c r="D659" t="s">
        <v>39</v>
      </c>
      <c r="E659" s="10">
        <v>497.56994494140798</v>
      </c>
      <c r="F659" t="s">
        <v>30</v>
      </c>
      <c r="G659" s="14">
        <v>46113</v>
      </c>
      <c r="H659">
        <v>7772</v>
      </c>
      <c r="I659">
        <v>2483698.04</v>
      </c>
      <c r="J659">
        <v>923.07453522617095</v>
      </c>
      <c r="K659" t="s">
        <v>817</v>
      </c>
      <c r="L659" s="9" t="s">
        <v>818</v>
      </c>
      <c r="M659" t="s">
        <v>42</v>
      </c>
      <c r="N659" s="12">
        <v>335.29958269903995</v>
      </c>
      <c r="O659" s="13">
        <v>0.67387426854836174</v>
      </c>
      <c r="P659" s="9" t="s">
        <v>838</v>
      </c>
      <c r="Q659">
        <v>534.91999999999996</v>
      </c>
      <c r="R659">
        <v>534.91999999999996</v>
      </c>
      <c r="S659" t="s">
        <v>39</v>
      </c>
      <c r="T659">
        <v>832.86952764044793</v>
      </c>
      <c r="U659">
        <v>2489517.6799999997</v>
      </c>
      <c r="V659">
        <v>3876174.7816386446</v>
      </c>
      <c r="W659" t="s">
        <v>30</v>
      </c>
      <c r="X659" t="s">
        <v>819</v>
      </c>
      <c r="Y659" t="s">
        <v>839</v>
      </c>
      <c r="Z659" t="b">
        <v>0</v>
      </c>
      <c r="AA659" t="s">
        <v>44</v>
      </c>
      <c r="AB659" t="s">
        <v>45</v>
      </c>
      <c r="AC659" t="s">
        <v>837</v>
      </c>
    </row>
    <row r="660" spans="2:29" x14ac:dyDescent="0.35">
      <c r="B660" t="s">
        <v>838</v>
      </c>
      <c r="C660">
        <v>133.47999999999999</v>
      </c>
      <c r="D660" t="s">
        <v>39</v>
      </c>
      <c r="E660" s="10">
        <v>207.828132336512</v>
      </c>
      <c r="F660" t="s">
        <v>30</v>
      </c>
      <c r="G660" s="14">
        <v>46113</v>
      </c>
      <c r="H660">
        <v>2608</v>
      </c>
      <c r="I660">
        <v>348115.83999999997</v>
      </c>
      <c r="J660">
        <v>19384.565239749601</v>
      </c>
      <c r="K660" t="s">
        <v>817</v>
      </c>
      <c r="L660" s="9" t="s">
        <v>818</v>
      </c>
      <c r="M660" t="s">
        <v>42</v>
      </c>
      <c r="N660" s="12">
        <v>318.42172118774408</v>
      </c>
      <c r="O660" s="13">
        <v>1.5321396463889725</v>
      </c>
      <c r="P660" s="9" t="s">
        <v>838</v>
      </c>
      <c r="Q660">
        <v>337.99</v>
      </c>
      <c r="R660">
        <v>337.99</v>
      </c>
      <c r="S660" t="s">
        <v>39</v>
      </c>
      <c r="T660">
        <v>526.24985352425608</v>
      </c>
      <c r="U660">
        <v>6681386.3200000003</v>
      </c>
      <c r="V660">
        <v>10402907.104467494</v>
      </c>
      <c r="W660" t="s">
        <v>30</v>
      </c>
      <c r="X660" t="s">
        <v>819</v>
      </c>
      <c r="Y660" t="s">
        <v>839</v>
      </c>
      <c r="Z660" t="b">
        <v>0</v>
      </c>
      <c r="AA660" t="s">
        <v>44</v>
      </c>
      <c r="AB660" t="s">
        <v>45</v>
      </c>
      <c r="AC660" t="s">
        <v>837</v>
      </c>
    </row>
    <row r="661" spans="2:29" x14ac:dyDescent="0.35">
      <c r="B661" t="s">
        <v>838</v>
      </c>
      <c r="C661">
        <v>161.24</v>
      </c>
      <c r="D661" t="s">
        <v>39</v>
      </c>
      <c r="E661" s="10">
        <v>251.05040498905603</v>
      </c>
      <c r="F661" t="s">
        <v>30</v>
      </c>
      <c r="G661" s="14">
        <v>46113</v>
      </c>
      <c r="H661">
        <v>10168</v>
      </c>
      <c r="I661">
        <v>1639488.32</v>
      </c>
      <c r="J661">
        <v>19384.565239749601</v>
      </c>
      <c r="K661" t="s">
        <v>817</v>
      </c>
      <c r="L661" s="9" t="s">
        <v>818</v>
      </c>
      <c r="M661" t="s">
        <v>42</v>
      </c>
      <c r="N661" s="12">
        <v>535.76311310303993</v>
      </c>
      <c r="O661" s="13">
        <v>2.1340858347804508</v>
      </c>
      <c r="P661" s="9" t="s">
        <v>838</v>
      </c>
      <c r="Q661">
        <v>505.34</v>
      </c>
      <c r="R661">
        <v>505.34</v>
      </c>
      <c r="S661" t="s">
        <v>39</v>
      </c>
      <c r="T661">
        <v>786.81351809209593</v>
      </c>
      <c r="U661">
        <v>2378130.04</v>
      </c>
      <c r="V661">
        <v>3702744.4161414034</v>
      </c>
      <c r="W661" t="s">
        <v>30</v>
      </c>
      <c r="X661" t="s">
        <v>819</v>
      </c>
      <c r="Y661" t="s">
        <v>839</v>
      </c>
      <c r="Z661" t="b">
        <v>0</v>
      </c>
      <c r="AA661" t="s">
        <v>44</v>
      </c>
      <c r="AB661" t="s">
        <v>45</v>
      </c>
      <c r="AC661" t="s">
        <v>837</v>
      </c>
    </row>
    <row r="662" spans="2:29" x14ac:dyDescent="0.35">
      <c r="B662" t="s">
        <v>838</v>
      </c>
      <c r="C662">
        <v>326.39</v>
      </c>
      <c r="D662" t="s">
        <v>39</v>
      </c>
      <c r="E662" s="10">
        <v>508.18867330921597</v>
      </c>
      <c r="F662" t="s">
        <v>30</v>
      </c>
      <c r="G662" s="14">
        <v>46113</v>
      </c>
      <c r="H662">
        <v>10229</v>
      </c>
      <c r="I662">
        <v>3338643.31</v>
      </c>
      <c r="J662">
        <v>4615.3726761308499</v>
      </c>
      <c r="K662" t="s">
        <v>817</v>
      </c>
      <c r="L662" s="9" t="s">
        <v>818</v>
      </c>
      <c r="M662" t="s">
        <v>42</v>
      </c>
      <c r="N662" s="12">
        <v>779.24650638131197</v>
      </c>
      <c r="O662" s="13">
        <v>1.5333803118968106</v>
      </c>
      <c r="P662" s="9" t="s">
        <v>838</v>
      </c>
      <c r="Q662">
        <v>826.87</v>
      </c>
      <c r="R662">
        <v>826.87</v>
      </c>
      <c r="S662" t="s">
        <v>39</v>
      </c>
      <c r="T662">
        <v>1287.435179690528</v>
      </c>
      <c r="U662">
        <v>8918619.8200000003</v>
      </c>
      <c r="V662">
        <v>13886275.848142035</v>
      </c>
      <c r="W662" t="s">
        <v>30</v>
      </c>
      <c r="X662" t="s">
        <v>819</v>
      </c>
      <c r="Y662" t="s">
        <v>839</v>
      </c>
      <c r="Z662" t="b">
        <v>0</v>
      </c>
      <c r="AA662" t="s">
        <v>44</v>
      </c>
      <c r="AB662" t="s">
        <v>45</v>
      </c>
      <c r="AC662" t="s">
        <v>837</v>
      </c>
    </row>
    <row r="663" spans="2:29" x14ac:dyDescent="0.35">
      <c r="B663" t="s">
        <v>840</v>
      </c>
      <c r="C663">
        <v>344.96</v>
      </c>
      <c r="D663" t="s">
        <v>29</v>
      </c>
      <c r="E663" s="10">
        <v>3204.9414319999996</v>
      </c>
      <c r="F663" t="s">
        <v>30</v>
      </c>
      <c r="G663" s="14">
        <v>46113</v>
      </c>
      <c r="H663">
        <v>13073</v>
      </c>
      <c r="I663">
        <v>4509662.08</v>
      </c>
      <c r="J663">
        <v>166564.79010000001</v>
      </c>
      <c r="K663" t="s">
        <v>841</v>
      </c>
      <c r="L663" s="9" t="s">
        <v>842</v>
      </c>
      <c r="M663" t="s">
        <v>33</v>
      </c>
      <c r="N663" s="12">
        <v>2703.3232914931514</v>
      </c>
      <c r="O663" s="13">
        <v>0.84348601958887581</v>
      </c>
      <c r="P663" s="9" t="s">
        <v>840</v>
      </c>
      <c r="Q663">
        <v>322.17</v>
      </c>
      <c r="R663">
        <v>322.17</v>
      </c>
      <c r="S663" t="s">
        <v>39</v>
      </c>
      <c r="T663">
        <v>501.61814050684802</v>
      </c>
      <c r="U663">
        <v>6175032.3900000006</v>
      </c>
      <c r="V663">
        <v>9614514.8990947567</v>
      </c>
      <c r="W663" t="s">
        <v>30</v>
      </c>
      <c r="X663" t="s">
        <v>843</v>
      </c>
      <c r="Y663" t="s">
        <v>844</v>
      </c>
      <c r="Z663" t="b">
        <v>0</v>
      </c>
      <c r="AB663" t="s">
        <v>36</v>
      </c>
      <c r="AC663" t="s">
        <v>845</v>
      </c>
    </row>
    <row r="664" spans="2:29" x14ac:dyDescent="0.35">
      <c r="B664" t="s">
        <v>846</v>
      </c>
      <c r="C664">
        <v>514.66999999999996</v>
      </c>
      <c r="D664" t="s">
        <v>29</v>
      </c>
      <c r="E664" s="10">
        <v>4781.6767358749994</v>
      </c>
      <c r="F664" t="s">
        <v>30</v>
      </c>
      <c r="G664" s="14">
        <v>46113</v>
      </c>
      <c r="H664">
        <v>464</v>
      </c>
      <c r="I664">
        <v>238806.87999999998</v>
      </c>
      <c r="J664">
        <v>171782.48232000001</v>
      </c>
      <c r="K664" t="s">
        <v>841</v>
      </c>
      <c r="L664" s="9" t="s">
        <v>842</v>
      </c>
      <c r="M664" t="s">
        <v>33</v>
      </c>
      <c r="N664" s="12">
        <v>4011.6632293794792</v>
      </c>
      <c r="O664" s="13">
        <v>0.83896579609440802</v>
      </c>
      <c r="P664" s="9" t="s">
        <v>846</v>
      </c>
      <c r="Q664">
        <v>494.55</v>
      </c>
      <c r="R664">
        <v>494.55</v>
      </c>
      <c r="S664" t="s">
        <v>39</v>
      </c>
      <c r="T664">
        <v>770.01350649552001</v>
      </c>
      <c r="U664">
        <v>3479653.8000000003</v>
      </c>
      <c r="V664">
        <v>5417815.0317024784</v>
      </c>
      <c r="W664" t="s">
        <v>30</v>
      </c>
      <c r="X664" t="s">
        <v>843</v>
      </c>
      <c r="Y664" t="s">
        <v>847</v>
      </c>
      <c r="Z664" t="b">
        <v>0</v>
      </c>
      <c r="AB664" t="s">
        <v>36</v>
      </c>
      <c r="AC664" t="s">
        <v>845</v>
      </c>
    </row>
    <row r="665" spans="2:29" x14ac:dyDescent="0.35">
      <c r="B665" t="s">
        <v>848</v>
      </c>
      <c r="C665">
        <v>563.28</v>
      </c>
      <c r="D665" t="s">
        <v>29</v>
      </c>
      <c r="E665" s="10">
        <v>5233.3007009999992</v>
      </c>
      <c r="F665" t="s">
        <v>30</v>
      </c>
      <c r="G665" s="14">
        <v>46113</v>
      </c>
      <c r="H665">
        <v>4860</v>
      </c>
      <c r="I665">
        <v>2737540.8</v>
      </c>
      <c r="J665">
        <v>1951.060125</v>
      </c>
      <c r="K665" t="s">
        <v>841</v>
      </c>
      <c r="L665" s="9" t="s">
        <v>842</v>
      </c>
      <c r="M665" t="s">
        <v>33</v>
      </c>
      <c r="N665" s="12">
        <v>4221.7500490942075</v>
      </c>
      <c r="O665" s="13">
        <v>0.80670886125223018</v>
      </c>
      <c r="P665" s="9" t="s">
        <v>848</v>
      </c>
      <c r="Q665">
        <v>649.67999999999995</v>
      </c>
      <c r="R665">
        <v>649.67999999999995</v>
      </c>
      <c r="S665" t="s">
        <v>39</v>
      </c>
      <c r="T665">
        <v>1011.5506519057919</v>
      </c>
      <c r="U665">
        <v>12594696.479999999</v>
      </c>
      <c r="V665">
        <v>19609920.937845681</v>
      </c>
      <c r="W665" t="s">
        <v>30</v>
      </c>
      <c r="X665" t="s">
        <v>843</v>
      </c>
      <c r="Y665" t="s">
        <v>849</v>
      </c>
      <c r="Z665" t="b">
        <v>0</v>
      </c>
      <c r="AA665" t="s">
        <v>44</v>
      </c>
      <c r="AB665" t="s">
        <v>36</v>
      </c>
      <c r="AC665" t="s">
        <v>158</v>
      </c>
    </row>
    <row r="666" spans="2:29" x14ac:dyDescent="0.35">
      <c r="B666" t="s">
        <v>850</v>
      </c>
      <c r="C666">
        <v>734.54</v>
      </c>
      <c r="D666" t="s">
        <v>29</v>
      </c>
      <c r="E666" s="10">
        <v>6824.4366867499994</v>
      </c>
      <c r="F666" t="s">
        <v>30</v>
      </c>
      <c r="G666" s="14">
        <v>46113</v>
      </c>
      <c r="H666">
        <v>1311</v>
      </c>
      <c r="I666">
        <v>962981.94</v>
      </c>
      <c r="J666">
        <v>26924.629724999999</v>
      </c>
      <c r="K666" t="s">
        <v>841</v>
      </c>
      <c r="L666" s="9" t="s">
        <v>842</v>
      </c>
      <c r="M666" t="s">
        <v>33</v>
      </c>
      <c r="N666" s="12">
        <v>6282.2276007081437</v>
      </c>
      <c r="O666" s="13">
        <v>0.92054888763279419</v>
      </c>
      <c r="P666" s="9" t="s">
        <v>850</v>
      </c>
      <c r="Q666">
        <v>348.24</v>
      </c>
      <c r="R666">
        <v>348.24</v>
      </c>
      <c r="S666" t="s">
        <v>39</v>
      </c>
      <c r="T666">
        <v>542.20908604185604</v>
      </c>
      <c r="U666">
        <v>4957892.88</v>
      </c>
      <c r="V666">
        <v>7719430.7579779048</v>
      </c>
      <c r="W666" t="s">
        <v>30</v>
      </c>
      <c r="X666" t="s">
        <v>843</v>
      </c>
      <c r="Y666" t="s">
        <v>851</v>
      </c>
      <c r="Z666" t="b">
        <v>0</v>
      </c>
      <c r="AA666" t="s">
        <v>44</v>
      </c>
      <c r="AB666" t="s">
        <v>36</v>
      </c>
      <c r="AC666" t="s">
        <v>845</v>
      </c>
    </row>
    <row r="667" spans="2:29" x14ac:dyDescent="0.35">
      <c r="B667" t="s">
        <v>852</v>
      </c>
      <c r="C667">
        <v>303.35000000000002</v>
      </c>
      <c r="D667" t="s">
        <v>575</v>
      </c>
      <c r="E667" s="10">
        <v>403.89414410000001</v>
      </c>
      <c r="F667" t="s">
        <v>30</v>
      </c>
      <c r="G667" s="14">
        <v>46113</v>
      </c>
      <c r="H667">
        <v>332</v>
      </c>
      <c r="I667">
        <v>100712.20000000001</v>
      </c>
      <c r="J667">
        <v>60657.484289599997</v>
      </c>
      <c r="K667" t="s">
        <v>853</v>
      </c>
      <c r="L667" s="9" t="s">
        <v>854</v>
      </c>
      <c r="M667" t="s">
        <v>42</v>
      </c>
      <c r="N667" s="12">
        <v>840.56788266508806</v>
      </c>
      <c r="O667" s="13">
        <v>2.0811588752744385</v>
      </c>
      <c r="P667" s="9" t="s">
        <v>852</v>
      </c>
      <c r="Q667">
        <v>799.27</v>
      </c>
      <c r="R667">
        <v>799.27</v>
      </c>
      <c r="S667" t="s">
        <v>39</v>
      </c>
      <c r="T667">
        <v>1244.462026765088</v>
      </c>
      <c r="U667">
        <v>12583706.879999999</v>
      </c>
      <c r="V667">
        <v>19592810.149389546</v>
      </c>
      <c r="W667" t="s">
        <v>30</v>
      </c>
      <c r="X667" t="s">
        <v>855</v>
      </c>
      <c r="Y667" t="s">
        <v>195</v>
      </c>
      <c r="Z667" t="b">
        <v>0</v>
      </c>
      <c r="AA667" t="s">
        <v>44</v>
      </c>
      <c r="AB667" t="s">
        <v>36</v>
      </c>
      <c r="AC667" t="s">
        <v>46</v>
      </c>
    </row>
    <row r="668" spans="2:29" x14ac:dyDescent="0.35">
      <c r="B668" t="s">
        <v>856</v>
      </c>
      <c r="C668">
        <v>543.75</v>
      </c>
      <c r="D668" t="s">
        <v>29</v>
      </c>
      <c r="E668" s="10">
        <v>5051.8521093749996</v>
      </c>
      <c r="F668" t="s">
        <v>30</v>
      </c>
      <c r="G668" s="14">
        <v>46113</v>
      </c>
      <c r="H668">
        <v>12920</v>
      </c>
      <c r="I668">
        <v>7025250</v>
      </c>
      <c r="J668">
        <v>52121.177624999997</v>
      </c>
      <c r="K668" t="s">
        <v>857</v>
      </c>
      <c r="L668" s="9" t="s">
        <v>858</v>
      </c>
      <c r="M668" t="s">
        <v>50</v>
      </c>
      <c r="N668" s="12">
        <v>4956.626093689496</v>
      </c>
      <c r="O668" s="13">
        <v>0.98115027644835695</v>
      </c>
      <c r="P668" s="9" t="s">
        <v>856</v>
      </c>
      <c r="Q668">
        <v>61.16</v>
      </c>
      <c r="R668">
        <v>61.16</v>
      </c>
      <c r="S668" t="s">
        <v>39</v>
      </c>
      <c r="T668">
        <v>95.226015685503995</v>
      </c>
      <c r="U668">
        <v>1072501.76</v>
      </c>
      <c r="V668">
        <v>1669883.411060998</v>
      </c>
      <c r="W668" t="s">
        <v>30</v>
      </c>
      <c r="X668" t="s">
        <v>859</v>
      </c>
      <c r="Y668" t="s">
        <v>228</v>
      </c>
      <c r="Z668" t="b">
        <v>0</v>
      </c>
      <c r="AA668" t="s">
        <v>44</v>
      </c>
      <c r="AB668" t="s">
        <v>36</v>
      </c>
      <c r="AC668" t="s">
        <v>226</v>
      </c>
    </row>
    <row r="669" spans="2:29" x14ac:dyDescent="0.35">
      <c r="B669" t="s">
        <v>856</v>
      </c>
      <c r="C669">
        <v>214.23</v>
      </c>
      <c r="D669" t="s">
        <v>29</v>
      </c>
      <c r="E669" s="10">
        <v>1990.3600503749999</v>
      </c>
      <c r="F669" t="s">
        <v>30</v>
      </c>
      <c r="G669" s="14">
        <v>46113</v>
      </c>
      <c r="H669">
        <v>17503</v>
      </c>
      <c r="I669">
        <v>3749667.69</v>
      </c>
      <c r="J669">
        <v>43521.183316875002</v>
      </c>
      <c r="K669" t="s">
        <v>857</v>
      </c>
      <c r="L669" s="9" t="s">
        <v>858</v>
      </c>
      <c r="M669" t="s">
        <v>50</v>
      </c>
      <c r="N669" s="12">
        <v>1662.4094996255278</v>
      </c>
      <c r="O669" s="13">
        <v>0.83523053997808916</v>
      </c>
      <c r="P669" s="9" t="s">
        <v>856</v>
      </c>
      <c r="Q669">
        <v>210.63</v>
      </c>
      <c r="R669">
        <v>210.63</v>
      </c>
      <c r="S669" t="s">
        <v>39</v>
      </c>
      <c r="T669">
        <v>327.95055074947203</v>
      </c>
      <c r="U669">
        <v>212946.93</v>
      </c>
      <c r="V669">
        <v>331558.00680771621</v>
      </c>
      <c r="W669" t="s">
        <v>30</v>
      </c>
      <c r="X669" t="s">
        <v>859</v>
      </c>
      <c r="Y669" t="s">
        <v>228</v>
      </c>
      <c r="Z669" t="b">
        <v>0</v>
      </c>
      <c r="AA669" t="s">
        <v>44</v>
      </c>
      <c r="AB669" t="s">
        <v>36</v>
      </c>
      <c r="AC669" t="s">
        <v>226</v>
      </c>
    </row>
    <row r="670" spans="2:29" x14ac:dyDescent="0.35">
      <c r="B670" t="s">
        <v>860</v>
      </c>
      <c r="C670">
        <v>542.09</v>
      </c>
      <c r="D670" t="s">
        <v>712</v>
      </c>
      <c r="E670" s="10">
        <v>36.172183083850001</v>
      </c>
      <c r="F670" t="s">
        <v>30</v>
      </c>
      <c r="G670" s="14">
        <v>46113</v>
      </c>
      <c r="H670">
        <v>1549</v>
      </c>
      <c r="I670">
        <v>839697.41</v>
      </c>
      <c r="J670">
        <v>177921.77157052301</v>
      </c>
      <c r="K670" t="s">
        <v>861</v>
      </c>
      <c r="L670" s="9" t="s">
        <v>862</v>
      </c>
      <c r="M670" t="s">
        <v>33</v>
      </c>
      <c r="N670" s="12">
        <v>266.67955515989399</v>
      </c>
      <c r="O670" s="13">
        <v>7.3725037424948763</v>
      </c>
      <c r="P670" s="9" t="s">
        <v>860</v>
      </c>
      <c r="Q670">
        <v>194.51</v>
      </c>
      <c r="R670">
        <v>194.51</v>
      </c>
      <c r="S670" t="s">
        <v>39</v>
      </c>
      <c r="T670">
        <v>302.85173824374397</v>
      </c>
      <c r="U670">
        <v>3688687.6399999997</v>
      </c>
      <c r="V670">
        <v>5743280.3640543604</v>
      </c>
      <c r="W670" t="s">
        <v>30</v>
      </c>
      <c r="X670" t="s">
        <v>863</v>
      </c>
      <c r="Y670" t="s">
        <v>579</v>
      </c>
      <c r="Z670" t="b">
        <v>0</v>
      </c>
      <c r="AA670" t="s">
        <v>35</v>
      </c>
      <c r="AB670" t="s">
        <v>36</v>
      </c>
      <c r="AC670" t="s">
        <v>580</v>
      </c>
    </row>
    <row r="671" spans="2:29" x14ac:dyDescent="0.35">
      <c r="B671" t="s">
        <v>864</v>
      </c>
      <c r="C671">
        <v>38.86</v>
      </c>
      <c r="D671" t="s">
        <v>712</v>
      </c>
      <c r="E671" s="10">
        <v>2.5930215178999996</v>
      </c>
      <c r="F671" t="s">
        <v>30</v>
      </c>
      <c r="G671" s="14">
        <v>46113</v>
      </c>
      <c r="H671">
        <v>6781</v>
      </c>
      <c r="I671">
        <v>263509.65999999997</v>
      </c>
      <c r="J671">
        <v>296269.05660000001</v>
      </c>
      <c r="K671" t="s">
        <v>861</v>
      </c>
      <c r="L671" s="9" t="s">
        <v>862</v>
      </c>
      <c r="M671" t="s">
        <v>33</v>
      </c>
      <c r="N671" s="12">
        <v>603.49970454318805</v>
      </c>
      <c r="O671" s="13">
        <v>232.73995235949374</v>
      </c>
      <c r="P671" s="9" t="s">
        <v>864</v>
      </c>
      <c r="Q671">
        <v>389.27</v>
      </c>
      <c r="R671">
        <v>389.27</v>
      </c>
      <c r="S671" t="s">
        <v>39</v>
      </c>
      <c r="T671">
        <v>606.092726061088</v>
      </c>
      <c r="U671">
        <v>5480143.0599999996</v>
      </c>
      <c r="V671">
        <v>8532573.3974879961</v>
      </c>
      <c r="W671" t="s">
        <v>30</v>
      </c>
      <c r="X671" t="s">
        <v>863</v>
      </c>
      <c r="Y671" t="s">
        <v>865</v>
      </c>
      <c r="Z671" t="b">
        <v>0</v>
      </c>
      <c r="AB671" t="s">
        <v>36</v>
      </c>
      <c r="AC671" t="s">
        <v>580</v>
      </c>
    </row>
    <row r="672" spans="2:29" x14ac:dyDescent="0.35">
      <c r="B672" t="s">
        <v>866</v>
      </c>
      <c r="C672">
        <v>141.04</v>
      </c>
      <c r="D672" t="s">
        <v>71</v>
      </c>
      <c r="E672" s="10">
        <v>1569.6762921034799</v>
      </c>
      <c r="F672" t="s">
        <v>30</v>
      </c>
      <c r="G672" s="14">
        <v>46113</v>
      </c>
      <c r="H672">
        <v>14395</v>
      </c>
      <c r="I672">
        <v>2030270.7999999998</v>
      </c>
      <c r="J672">
        <v>150175.41819878601</v>
      </c>
      <c r="K672" t="s">
        <v>867</v>
      </c>
      <c r="L672" s="9" t="s">
        <v>868</v>
      </c>
      <c r="M672" t="s">
        <v>50</v>
      </c>
      <c r="N672" s="12">
        <v>1376.5150837002159</v>
      </c>
      <c r="O672" s="13">
        <v>0.87694201067124866</v>
      </c>
      <c r="P672" s="9" t="s">
        <v>866</v>
      </c>
      <c r="Q672">
        <v>124.06</v>
      </c>
      <c r="R672">
        <v>124.06</v>
      </c>
      <c r="S672" t="s">
        <v>39</v>
      </c>
      <c r="T672">
        <v>193.161208403264</v>
      </c>
      <c r="U672">
        <v>1863629.32</v>
      </c>
      <c r="V672">
        <v>2901667.6726338319</v>
      </c>
      <c r="W672" t="s">
        <v>30</v>
      </c>
      <c r="X672" t="s">
        <v>869</v>
      </c>
      <c r="Y672" t="s">
        <v>870</v>
      </c>
      <c r="Z672" t="b">
        <v>0</v>
      </c>
      <c r="AA672" t="s">
        <v>44</v>
      </c>
      <c r="AB672" t="s">
        <v>36</v>
      </c>
      <c r="AC672" t="s">
        <v>187</v>
      </c>
    </row>
    <row r="673" spans="2:29" x14ac:dyDescent="0.35">
      <c r="B673" t="s">
        <v>871</v>
      </c>
      <c r="C673">
        <v>562.88</v>
      </c>
      <c r="D673" t="s">
        <v>71</v>
      </c>
      <c r="E673" s="10">
        <v>6264.4596660465595</v>
      </c>
      <c r="F673" t="s">
        <v>30</v>
      </c>
      <c r="G673" s="14">
        <v>46113</v>
      </c>
      <c r="H673">
        <v>17097</v>
      </c>
      <c r="I673">
        <v>9623559.3599999994</v>
      </c>
      <c r="J673">
        <v>10219.4785537721</v>
      </c>
      <c r="K673" t="s">
        <v>867</v>
      </c>
      <c r="L673" s="9" t="s">
        <v>868</v>
      </c>
      <c r="M673" t="s">
        <v>50</v>
      </c>
      <c r="N673" s="12">
        <v>5594.8414095739518</v>
      </c>
      <c r="O673" s="13">
        <v>0.89310837771022034</v>
      </c>
      <c r="P673" s="9" t="s">
        <v>871</v>
      </c>
      <c r="Q673">
        <v>430.07</v>
      </c>
      <c r="R673">
        <v>430.07</v>
      </c>
      <c r="S673" t="s">
        <v>39</v>
      </c>
      <c r="T673">
        <v>669.61825647260798</v>
      </c>
      <c r="U673">
        <v>7814801.9699999997</v>
      </c>
      <c r="V673">
        <v>12167633.338363759</v>
      </c>
      <c r="W673" t="s">
        <v>30</v>
      </c>
      <c r="X673" t="s">
        <v>869</v>
      </c>
      <c r="Y673" t="s">
        <v>870</v>
      </c>
      <c r="Z673" t="b">
        <v>0</v>
      </c>
      <c r="AA673" t="s">
        <v>44</v>
      </c>
      <c r="AB673" t="s">
        <v>36</v>
      </c>
      <c r="AC673" t="s">
        <v>872</v>
      </c>
    </row>
    <row r="674" spans="2:29" x14ac:dyDescent="0.35">
      <c r="B674" t="s">
        <v>873</v>
      </c>
      <c r="C674">
        <v>761.33</v>
      </c>
      <c r="D674" t="s">
        <v>71</v>
      </c>
      <c r="E674" s="10">
        <v>8473.0689979235849</v>
      </c>
      <c r="F674" t="s">
        <v>30</v>
      </c>
      <c r="G674" s="14">
        <v>46113</v>
      </c>
      <c r="H674">
        <v>12505</v>
      </c>
      <c r="I674">
        <v>9520431.6500000004</v>
      </c>
      <c r="J674">
        <v>329640.36831577402</v>
      </c>
      <c r="K674" t="s">
        <v>867</v>
      </c>
      <c r="L674" s="9" t="s">
        <v>868</v>
      </c>
      <c r="M674" t="s">
        <v>50</v>
      </c>
      <c r="N674" s="12">
        <v>7628.7711028022404</v>
      </c>
      <c r="O674" s="13">
        <v>0.90035512571321574</v>
      </c>
      <c r="P674" s="9" t="s">
        <v>873</v>
      </c>
      <c r="Q674">
        <v>542.26</v>
      </c>
      <c r="R674">
        <v>542.26</v>
      </c>
      <c r="S674" t="s">
        <v>39</v>
      </c>
      <c r="T674">
        <v>844.29789512134403</v>
      </c>
      <c r="U674">
        <v>812305.48</v>
      </c>
      <c r="V674">
        <v>1264758.2468917733</v>
      </c>
      <c r="W674" t="s">
        <v>30</v>
      </c>
      <c r="X674" t="s">
        <v>869</v>
      </c>
      <c r="Y674" t="s">
        <v>870</v>
      </c>
      <c r="Z674" t="b">
        <v>0</v>
      </c>
      <c r="AA674" t="s">
        <v>44</v>
      </c>
      <c r="AB674" t="s">
        <v>36</v>
      </c>
      <c r="AC674" t="s">
        <v>872</v>
      </c>
    </row>
    <row r="675" spans="2:29" x14ac:dyDescent="0.35">
      <c r="B675" t="s">
        <v>874</v>
      </c>
      <c r="C675">
        <v>180.31</v>
      </c>
      <c r="D675" t="s">
        <v>39</v>
      </c>
      <c r="E675" s="10">
        <v>280.74236246326399</v>
      </c>
      <c r="F675" t="s">
        <v>30</v>
      </c>
      <c r="G675" s="14">
        <v>46113</v>
      </c>
      <c r="H675">
        <v>11709</v>
      </c>
      <c r="I675">
        <v>2111249.79</v>
      </c>
      <c r="J675">
        <v>1924.51061481188</v>
      </c>
      <c r="K675" t="s">
        <v>474</v>
      </c>
      <c r="L675" s="9" t="s">
        <v>475</v>
      </c>
      <c r="M675" t="s">
        <v>50</v>
      </c>
      <c r="N675" s="12">
        <v>988.66277697811188</v>
      </c>
      <c r="O675" s="13">
        <v>3.5216016859852473</v>
      </c>
      <c r="P675" s="9" t="s">
        <v>874</v>
      </c>
      <c r="Q675">
        <v>815.29</v>
      </c>
      <c r="R675">
        <v>0.81528999999999996</v>
      </c>
      <c r="S675" t="s">
        <v>39</v>
      </c>
      <c r="T675">
        <v>1269.4051394413759</v>
      </c>
      <c r="U675">
        <v>11118925.02</v>
      </c>
      <c r="V675">
        <v>17312147.291701484</v>
      </c>
      <c r="W675" t="s">
        <v>352</v>
      </c>
      <c r="X675" t="s">
        <v>476</v>
      </c>
      <c r="Y675" t="s">
        <v>875</v>
      </c>
      <c r="Z675" t="b">
        <v>0</v>
      </c>
      <c r="AA675" t="s">
        <v>44</v>
      </c>
      <c r="AB675" t="s">
        <v>45</v>
      </c>
      <c r="AC675" t="s">
        <v>434</v>
      </c>
    </row>
    <row r="676" spans="2:29" x14ac:dyDescent="0.35">
      <c r="B676" t="s">
        <v>874</v>
      </c>
      <c r="C676">
        <v>264.70999999999998</v>
      </c>
      <c r="D676" t="s">
        <v>39</v>
      </c>
      <c r="E676" s="10">
        <v>412.15301851062395</v>
      </c>
      <c r="F676" t="s">
        <v>30</v>
      </c>
      <c r="G676" s="14">
        <v>46113</v>
      </c>
      <c r="H676">
        <v>6660</v>
      </c>
      <c r="I676">
        <v>1762968.5999999999</v>
      </c>
      <c r="J676">
        <v>15.476563046336</v>
      </c>
      <c r="K676" t="s">
        <v>474</v>
      </c>
      <c r="L676" s="9" t="s">
        <v>475</v>
      </c>
      <c r="M676" t="s">
        <v>50</v>
      </c>
      <c r="N676" s="12">
        <v>253.54160226009594</v>
      </c>
      <c r="O676" s="13">
        <v>0.6151637641192248</v>
      </c>
      <c r="P676" s="9" t="s">
        <v>874</v>
      </c>
      <c r="Q676">
        <v>101.87</v>
      </c>
      <c r="R676">
        <v>0.10187</v>
      </c>
      <c r="S676" t="s">
        <v>39</v>
      </c>
      <c r="T676">
        <v>158.61141625052801</v>
      </c>
      <c r="U676">
        <v>1621464.79</v>
      </c>
      <c r="V676">
        <v>2524617.9124596543</v>
      </c>
      <c r="W676" t="s">
        <v>352</v>
      </c>
      <c r="X676" t="s">
        <v>476</v>
      </c>
      <c r="Y676" t="s">
        <v>875</v>
      </c>
      <c r="Z676" t="b">
        <v>0</v>
      </c>
      <c r="AA676" t="s">
        <v>44</v>
      </c>
      <c r="AB676" t="s">
        <v>45</v>
      </c>
      <c r="AC676" t="s">
        <v>434</v>
      </c>
    </row>
    <row r="677" spans="2:29" x14ac:dyDescent="0.35">
      <c r="B677" t="s">
        <v>876</v>
      </c>
      <c r="C677">
        <v>697.7</v>
      </c>
      <c r="D677" t="s">
        <v>71</v>
      </c>
      <c r="E677" s="10">
        <v>7764.9117200836508</v>
      </c>
      <c r="F677" t="s">
        <v>30</v>
      </c>
      <c r="G677" s="14">
        <v>46113</v>
      </c>
      <c r="H677">
        <v>3901</v>
      </c>
      <c r="I677">
        <v>2721727.7</v>
      </c>
      <c r="J677">
        <v>76444.459648299206</v>
      </c>
      <c r="K677" t="s">
        <v>310</v>
      </c>
      <c r="L677" s="9" t="s">
        <v>311</v>
      </c>
      <c r="M677" t="s">
        <v>50</v>
      </c>
      <c r="N677" s="12">
        <v>6286.1681599601943</v>
      </c>
      <c r="O677" s="13">
        <v>0.80956080205023551</v>
      </c>
      <c r="P677" s="9" t="s">
        <v>876</v>
      </c>
      <c r="Q677">
        <v>949.74</v>
      </c>
      <c r="R677">
        <v>949.74</v>
      </c>
      <c r="S677" t="s">
        <v>39</v>
      </c>
      <c r="T677">
        <v>1478.7435601234561</v>
      </c>
      <c r="U677">
        <v>4043992.92</v>
      </c>
      <c r="V677">
        <v>6296490.0790056763</v>
      </c>
      <c r="W677" t="s">
        <v>30</v>
      </c>
      <c r="X677" t="s">
        <v>312</v>
      </c>
      <c r="Y677" t="s">
        <v>877</v>
      </c>
      <c r="Z677" t="b">
        <v>0</v>
      </c>
      <c r="AA677" t="s">
        <v>44</v>
      </c>
      <c r="AB677" t="s">
        <v>36</v>
      </c>
      <c r="AC677" t="s">
        <v>434</v>
      </c>
    </row>
    <row r="678" spans="2:29" x14ac:dyDescent="0.35">
      <c r="B678" t="s">
        <v>878</v>
      </c>
      <c r="C678">
        <v>180.63</v>
      </c>
      <c r="D678" t="s">
        <v>71</v>
      </c>
      <c r="E678" s="10">
        <v>2010.2852286064349</v>
      </c>
      <c r="F678" t="s">
        <v>30</v>
      </c>
      <c r="G678" s="14">
        <v>46113</v>
      </c>
      <c r="H678">
        <v>13855</v>
      </c>
      <c r="I678">
        <v>2502628.65</v>
      </c>
      <c r="J678">
        <v>97958.484754032703</v>
      </c>
      <c r="K678" t="s">
        <v>310</v>
      </c>
      <c r="L678" s="9" t="s">
        <v>311</v>
      </c>
      <c r="M678" t="s">
        <v>50</v>
      </c>
      <c r="N678" s="12">
        <v>1841.008374039267</v>
      </c>
      <c r="O678" s="13">
        <v>0.91579460856680839</v>
      </c>
      <c r="P678" s="9" t="s">
        <v>878</v>
      </c>
      <c r="Q678">
        <v>108.72</v>
      </c>
      <c r="R678">
        <v>108.72</v>
      </c>
      <c r="S678" t="s">
        <v>39</v>
      </c>
      <c r="T678">
        <v>169.27685456716802</v>
      </c>
      <c r="U678">
        <v>1399443.84</v>
      </c>
      <c r="V678">
        <v>2178931.6719885869</v>
      </c>
      <c r="W678" t="s">
        <v>30</v>
      </c>
      <c r="X678" t="s">
        <v>312</v>
      </c>
      <c r="Y678" t="s">
        <v>877</v>
      </c>
      <c r="Z678" t="b">
        <v>0</v>
      </c>
      <c r="AA678" t="s">
        <v>44</v>
      </c>
      <c r="AB678" t="s">
        <v>36</v>
      </c>
      <c r="AC678" t="s">
        <v>434</v>
      </c>
    </row>
    <row r="679" spans="2:29" x14ac:dyDescent="0.35">
      <c r="B679" t="s">
        <v>879</v>
      </c>
      <c r="C679">
        <v>671.33</v>
      </c>
      <c r="D679" t="s">
        <v>39</v>
      </c>
      <c r="E679" s="10">
        <v>1045.2596649795521</v>
      </c>
      <c r="F679" t="s">
        <v>30</v>
      </c>
      <c r="G679" s="14">
        <v>46113</v>
      </c>
      <c r="H679">
        <v>7528</v>
      </c>
      <c r="I679">
        <v>5053772.24</v>
      </c>
      <c r="J679">
        <v>76337.314543364497</v>
      </c>
      <c r="K679" t="s">
        <v>880</v>
      </c>
      <c r="L679" s="9" t="s">
        <v>881</v>
      </c>
      <c r="M679" t="s">
        <v>33</v>
      </c>
      <c r="N679" s="12">
        <v>428.12782101116807</v>
      </c>
      <c r="O679" s="13">
        <v>0.40958991851995297</v>
      </c>
      <c r="P679" s="9" t="s">
        <v>879</v>
      </c>
      <c r="Q679">
        <v>396.36</v>
      </c>
      <c r="R679">
        <v>396.36</v>
      </c>
      <c r="S679" t="s">
        <v>39</v>
      </c>
      <c r="T679">
        <v>617.13184396838403</v>
      </c>
      <c r="U679">
        <v>2393221.6800000002</v>
      </c>
      <c r="V679">
        <v>3726242.0738811027</v>
      </c>
      <c r="W679" t="s">
        <v>30</v>
      </c>
      <c r="X679" t="s">
        <v>882</v>
      </c>
      <c r="Y679" t="s">
        <v>883</v>
      </c>
      <c r="Z679" t="b">
        <v>0</v>
      </c>
      <c r="AA679" t="s">
        <v>35</v>
      </c>
      <c r="AB679" t="s">
        <v>45</v>
      </c>
      <c r="AC679" t="s">
        <v>884</v>
      </c>
    </row>
    <row r="680" spans="2:29" x14ac:dyDescent="0.35">
      <c r="B680" t="s">
        <v>879</v>
      </c>
      <c r="C680">
        <v>921.34</v>
      </c>
      <c r="D680" t="s">
        <v>39</v>
      </c>
      <c r="E680" s="10">
        <v>1434.524808562496</v>
      </c>
      <c r="F680" t="s">
        <v>30</v>
      </c>
      <c r="G680" s="14">
        <v>46113</v>
      </c>
      <c r="H680">
        <v>19093</v>
      </c>
      <c r="I680">
        <v>17591144.620000001</v>
      </c>
      <c r="J680">
        <v>76337.314543364497</v>
      </c>
      <c r="K680" t="s">
        <v>880</v>
      </c>
      <c r="L680" s="9" t="s">
        <v>881</v>
      </c>
      <c r="M680" t="s">
        <v>33</v>
      </c>
      <c r="N680" s="12">
        <v>38.660267649951948</v>
      </c>
      <c r="O680" s="13">
        <v>2.6949877352551683E-2</v>
      </c>
      <c r="P680" s="9" t="s">
        <v>879</v>
      </c>
      <c r="Q680">
        <v>946.17</v>
      </c>
      <c r="R680">
        <v>946.17</v>
      </c>
      <c r="S680" t="s">
        <v>39</v>
      </c>
      <c r="T680">
        <v>1473.1850762124479</v>
      </c>
      <c r="U680">
        <v>16751939.85</v>
      </c>
      <c r="V680">
        <v>26082741.77434139</v>
      </c>
      <c r="W680" t="s">
        <v>30</v>
      </c>
      <c r="X680" t="s">
        <v>882</v>
      </c>
      <c r="Y680" t="s">
        <v>883</v>
      </c>
      <c r="Z680" t="b">
        <v>0</v>
      </c>
      <c r="AA680" t="s">
        <v>35</v>
      </c>
      <c r="AB680" t="s">
        <v>45</v>
      </c>
      <c r="AC680" t="s">
        <v>884</v>
      </c>
    </row>
    <row r="681" spans="2:29" x14ac:dyDescent="0.35">
      <c r="B681" t="s">
        <v>879</v>
      </c>
      <c r="C681">
        <v>528.79</v>
      </c>
      <c r="D681" t="s">
        <v>39</v>
      </c>
      <c r="E681" s="10">
        <v>823.32512809577599</v>
      </c>
      <c r="F681" t="s">
        <v>30</v>
      </c>
      <c r="G681" s="14">
        <v>46113</v>
      </c>
      <c r="H681">
        <v>7644</v>
      </c>
      <c r="I681">
        <v>4042070.76</v>
      </c>
      <c r="J681">
        <v>76337.314543364497</v>
      </c>
      <c r="K681" t="s">
        <v>880</v>
      </c>
      <c r="L681" s="9" t="s">
        <v>881</v>
      </c>
      <c r="M681" t="s">
        <v>33</v>
      </c>
      <c r="N681" s="12">
        <v>623.49996699248015</v>
      </c>
      <c r="O681" s="13">
        <v>0.75729495640991717</v>
      </c>
      <c r="P681" s="9" t="s">
        <v>879</v>
      </c>
      <c r="Q681">
        <v>929.24</v>
      </c>
      <c r="R681">
        <v>929.24</v>
      </c>
      <c r="S681" t="s">
        <v>39</v>
      </c>
      <c r="T681">
        <v>1446.8250950882561</v>
      </c>
      <c r="U681">
        <v>4412031.5200000005</v>
      </c>
      <c r="V681">
        <v>6869525.5514790406</v>
      </c>
      <c r="W681" t="s">
        <v>30</v>
      </c>
      <c r="X681" t="s">
        <v>882</v>
      </c>
      <c r="Y681" t="s">
        <v>883</v>
      </c>
      <c r="Z681" t="b">
        <v>0</v>
      </c>
      <c r="AA681" t="s">
        <v>35</v>
      </c>
      <c r="AB681" t="s">
        <v>45</v>
      </c>
      <c r="AC681" t="s">
        <v>884</v>
      </c>
    </row>
    <row r="682" spans="2:29" x14ac:dyDescent="0.35">
      <c r="B682" t="s">
        <v>879</v>
      </c>
      <c r="C682">
        <v>79.760000000000005</v>
      </c>
      <c r="D682" t="s">
        <v>39</v>
      </c>
      <c r="E682" s="10">
        <v>124.18618396134401</v>
      </c>
      <c r="F682" t="s">
        <v>30</v>
      </c>
      <c r="G682" s="14">
        <v>46113</v>
      </c>
      <c r="H682">
        <v>12267</v>
      </c>
      <c r="I682">
        <v>978415.92</v>
      </c>
      <c r="J682">
        <v>116404.383713048</v>
      </c>
      <c r="K682" t="s">
        <v>880</v>
      </c>
      <c r="L682" s="9" t="s">
        <v>881</v>
      </c>
      <c r="M682" t="s">
        <v>33</v>
      </c>
      <c r="N682" s="12">
        <v>283.71622920556803</v>
      </c>
      <c r="O682" s="13">
        <v>2.284603811434303</v>
      </c>
      <c r="P682" s="9" t="s">
        <v>879</v>
      </c>
      <c r="Q682">
        <v>261.98</v>
      </c>
      <c r="R682">
        <v>261.98</v>
      </c>
      <c r="S682" t="s">
        <v>39</v>
      </c>
      <c r="T682">
        <v>407.90241316691203</v>
      </c>
      <c r="U682">
        <v>3417267.12</v>
      </c>
      <c r="V682">
        <v>5320679.0773492008</v>
      </c>
      <c r="W682" t="s">
        <v>30</v>
      </c>
      <c r="X682" t="s">
        <v>882</v>
      </c>
      <c r="Y682" t="s">
        <v>883</v>
      </c>
      <c r="Z682" t="b">
        <v>0</v>
      </c>
      <c r="AA682" t="s">
        <v>35</v>
      </c>
      <c r="AB682" t="s">
        <v>45</v>
      </c>
      <c r="AC682" t="s">
        <v>884</v>
      </c>
    </row>
    <row r="683" spans="2:29" x14ac:dyDescent="0.35">
      <c r="B683" t="s">
        <v>879</v>
      </c>
      <c r="C683">
        <v>99.44</v>
      </c>
      <c r="D683" t="s">
        <v>39</v>
      </c>
      <c r="E683" s="10">
        <v>154.827910395136</v>
      </c>
      <c r="F683" t="s">
        <v>30</v>
      </c>
      <c r="G683" s="14">
        <v>46113</v>
      </c>
      <c r="H683">
        <v>2594</v>
      </c>
      <c r="I683">
        <v>257947.36</v>
      </c>
      <c r="J683">
        <v>116404.383713048</v>
      </c>
      <c r="K683" t="s">
        <v>880</v>
      </c>
      <c r="L683" s="9" t="s">
        <v>881</v>
      </c>
      <c r="M683" t="s">
        <v>33</v>
      </c>
      <c r="N683" s="12">
        <v>286.56553608432</v>
      </c>
      <c r="O683" s="13">
        <v>1.8508648431214803</v>
      </c>
      <c r="P683" s="9" t="s">
        <v>879</v>
      </c>
      <c r="Q683">
        <v>283.49</v>
      </c>
      <c r="R683">
        <v>283.49</v>
      </c>
      <c r="S683" t="s">
        <v>39</v>
      </c>
      <c r="T683">
        <v>441.39344647945603</v>
      </c>
      <c r="U683">
        <v>4909763.3100000005</v>
      </c>
      <c r="V683">
        <v>7644493.0995776989</v>
      </c>
      <c r="W683" t="s">
        <v>30</v>
      </c>
      <c r="X683" t="s">
        <v>882</v>
      </c>
      <c r="Y683" t="s">
        <v>883</v>
      </c>
      <c r="Z683" t="b">
        <v>0</v>
      </c>
      <c r="AA683" t="s">
        <v>35</v>
      </c>
      <c r="AB683" t="s">
        <v>45</v>
      </c>
      <c r="AC683" t="s">
        <v>884</v>
      </c>
    </row>
    <row r="684" spans="2:29" x14ac:dyDescent="0.35">
      <c r="B684" t="s">
        <v>879</v>
      </c>
      <c r="C684">
        <v>816.88</v>
      </c>
      <c r="D684" t="s">
        <v>39</v>
      </c>
      <c r="E684" s="10">
        <v>1271.880766729472</v>
      </c>
      <c r="F684" t="s">
        <v>30</v>
      </c>
      <c r="G684" s="14">
        <v>46113</v>
      </c>
      <c r="H684">
        <v>13816</v>
      </c>
      <c r="I684">
        <v>11286014.08</v>
      </c>
      <c r="J684">
        <v>64669.102062804603</v>
      </c>
      <c r="K684" t="s">
        <v>880</v>
      </c>
      <c r="L684" s="9" t="s">
        <v>881</v>
      </c>
      <c r="M684" t="s">
        <v>33</v>
      </c>
      <c r="N684" s="12">
        <v>302.78945831196802</v>
      </c>
      <c r="O684" s="13">
        <v>0.23806434237586918</v>
      </c>
      <c r="P684" s="9" t="s">
        <v>879</v>
      </c>
      <c r="Q684">
        <v>622.41</v>
      </c>
      <c r="R684">
        <v>622.41</v>
      </c>
      <c r="S684" t="s">
        <v>39</v>
      </c>
      <c r="T684">
        <v>969.09130841750402</v>
      </c>
      <c r="U684">
        <v>2803957.05</v>
      </c>
      <c r="V684">
        <v>4365756.3444208559</v>
      </c>
      <c r="W684" t="s">
        <v>30</v>
      </c>
      <c r="X684" t="s">
        <v>882</v>
      </c>
      <c r="Y684" t="s">
        <v>883</v>
      </c>
      <c r="Z684" t="b">
        <v>0</v>
      </c>
      <c r="AA684" t="s">
        <v>35</v>
      </c>
      <c r="AB684" t="s">
        <v>45</v>
      </c>
      <c r="AC684" t="s">
        <v>884</v>
      </c>
    </row>
    <row r="685" spans="2:29" x14ac:dyDescent="0.35">
      <c r="B685" t="s">
        <v>879</v>
      </c>
      <c r="C685">
        <v>642.03</v>
      </c>
      <c r="D685" t="s">
        <v>39</v>
      </c>
      <c r="E685" s="10">
        <v>999.63961495363196</v>
      </c>
      <c r="F685" t="s">
        <v>30</v>
      </c>
      <c r="G685" s="14">
        <v>46113</v>
      </c>
      <c r="H685">
        <v>11917</v>
      </c>
      <c r="I685">
        <v>7651071.5099999998</v>
      </c>
      <c r="J685">
        <v>12933.8278861527</v>
      </c>
      <c r="K685" t="s">
        <v>880</v>
      </c>
      <c r="L685" s="9" t="s">
        <v>881</v>
      </c>
      <c r="M685" t="s">
        <v>33</v>
      </c>
      <c r="N685" s="12">
        <v>509.73010162067203</v>
      </c>
      <c r="O685" s="13">
        <v>0.50991386695325769</v>
      </c>
      <c r="P685" s="9" t="s">
        <v>879</v>
      </c>
      <c r="Q685">
        <v>969.41</v>
      </c>
      <c r="R685">
        <v>969.41</v>
      </c>
      <c r="S685" t="s">
        <v>39</v>
      </c>
      <c r="T685">
        <v>1509.369716574304</v>
      </c>
      <c r="U685">
        <v>12533501.889999999</v>
      </c>
      <c r="V685">
        <v>19514641.065589175</v>
      </c>
      <c r="W685" t="s">
        <v>30</v>
      </c>
      <c r="X685" t="s">
        <v>882</v>
      </c>
      <c r="Y685" t="s">
        <v>883</v>
      </c>
      <c r="Z685" t="b">
        <v>0</v>
      </c>
      <c r="AA685" t="s">
        <v>35</v>
      </c>
      <c r="AB685" t="s">
        <v>45</v>
      </c>
      <c r="AC685" t="s">
        <v>884</v>
      </c>
    </row>
    <row r="686" spans="2:29" x14ac:dyDescent="0.35">
      <c r="B686" t="s">
        <v>879</v>
      </c>
      <c r="C686">
        <v>581.47</v>
      </c>
      <c r="D686" t="s">
        <v>39</v>
      </c>
      <c r="E686" s="10">
        <v>905.34779824476811</v>
      </c>
      <c r="F686" t="s">
        <v>30</v>
      </c>
      <c r="G686" s="14">
        <v>46113</v>
      </c>
      <c r="H686">
        <v>13015</v>
      </c>
      <c r="I686">
        <v>7567832.0500000007</v>
      </c>
      <c r="J686">
        <v>232808.76742609599</v>
      </c>
      <c r="K686" t="s">
        <v>880</v>
      </c>
      <c r="L686" s="9" t="s">
        <v>881</v>
      </c>
      <c r="M686" t="s">
        <v>33</v>
      </c>
      <c r="N686" s="12">
        <v>512.68839838003214</v>
      </c>
      <c r="O686" s="13">
        <v>0.56628888850671577</v>
      </c>
      <c r="P686" s="9" t="s">
        <v>879</v>
      </c>
      <c r="Q686">
        <v>252.19</v>
      </c>
      <c r="R686">
        <v>252.19</v>
      </c>
      <c r="S686" t="s">
        <v>39</v>
      </c>
      <c r="T686">
        <v>392.65939986473603</v>
      </c>
      <c r="U686">
        <v>4719231.47</v>
      </c>
      <c r="V686">
        <v>7347835.3496688055</v>
      </c>
      <c r="W686" t="s">
        <v>30</v>
      </c>
      <c r="X686" t="s">
        <v>882</v>
      </c>
      <c r="Y686" t="s">
        <v>883</v>
      </c>
      <c r="Z686" t="b">
        <v>0</v>
      </c>
      <c r="AA686" t="s">
        <v>35</v>
      </c>
      <c r="AB686" t="s">
        <v>45</v>
      </c>
      <c r="AC686" t="s">
        <v>884</v>
      </c>
    </row>
    <row r="687" spans="2:29" x14ac:dyDescent="0.35">
      <c r="B687" t="s">
        <v>879</v>
      </c>
      <c r="C687">
        <v>566.20000000000005</v>
      </c>
      <c r="D687" t="s">
        <v>39</v>
      </c>
      <c r="E687" s="10">
        <v>881.57243428928007</v>
      </c>
      <c r="F687" t="s">
        <v>30</v>
      </c>
      <c r="G687" s="14">
        <v>46113</v>
      </c>
      <c r="H687">
        <v>19352</v>
      </c>
      <c r="I687">
        <v>10957102.4</v>
      </c>
      <c r="J687">
        <v>25867.625877938201</v>
      </c>
      <c r="K687" t="s">
        <v>880</v>
      </c>
      <c r="L687" s="9" t="s">
        <v>881</v>
      </c>
      <c r="M687" t="s">
        <v>33</v>
      </c>
      <c r="N687" s="12">
        <v>394.97932732339206</v>
      </c>
      <c r="O687" s="13">
        <v>0.44803956199222894</v>
      </c>
      <c r="P687" s="9" t="s">
        <v>879</v>
      </c>
      <c r="Q687">
        <v>312.52</v>
      </c>
      <c r="R687">
        <v>312.52</v>
      </c>
      <c r="S687" t="s">
        <v>39</v>
      </c>
      <c r="T687">
        <v>486.59310696588801</v>
      </c>
      <c r="U687">
        <v>2324523.7599999998</v>
      </c>
      <c r="V687">
        <v>3619279.5296122748</v>
      </c>
      <c r="W687" t="s">
        <v>30</v>
      </c>
      <c r="X687" t="s">
        <v>882</v>
      </c>
      <c r="Y687" t="s">
        <v>883</v>
      </c>
      <c r="Z687" t="b">
        <v>0</v>
      </c>
      <c r="AA687" t="s">
        <v>35</v>
      </c>
      <c r="AB687" t="s">
        <v>45</v>
      </c>
      <c r="AC687" t="s">
        <v>884</v>
      </c>
    </row>
    <row r="688" spans="2:29" x14ac:dyDescent="0.35">
      <c r="B688" t="s">
        <v>879</v>
      </c>
      <c r="C688">
        <v>192.2</v>
      </c>
      <c r="D688" t="s">
        <v>39</v>
      </c>
      <c r="E688" s="10">
        <v>299.25507218368</v>
      </c>
      <c r="F688" t="s">
        <v>30</v>
      </c>
      <c r="G688" s="14">
        <v>46113</v>
      </c>
      <c r="H688">
        <v>17171</v>
      </c>
      <c r="I688">
        <v>3300266.1999999997</v>
      </c>
      <c r="J688">
        <v>51735.281650243604</v>
      </c>
      <c r="K688" t="s">
        <v>880</v>
      </c>
      <c r="L688" s="9" t="s">
        <v>881</v>
      </c>
      <c r="M688" t="s">
        <v>33</v>
      </c>
      <c r="N688" s="12">
        <v>8.3455108579839816</v>
      </c>
      <c r="O688" s="13">
        <v>2.788761706555665E-2</v>
      </c>
      <c r="P688" s="9" t="s">
        <v>879</v>
      </c>
      <c r="Q688">
        <v>186.84</v>
      </c>
      <c r="R688">
        <v>186.84</v>
      </c>
      <c r="S688" t="s">
        <v>39</v>
      </c>
      <c r="T688">
        <v>290.90956132569602</v>
      </c>
      <c r="U688">
        <v>119390.76000000001</v>
      </c>
      <c r="V688">
        <v>185891.20968711976</v>
      </c>
      <c r="W688" t="s">
        <v>30</v>
      </c>
      <c r="X688" t="s">
        <v>882</v>
      </c>
      <c r="Y688" t="s">
        <v>883</v>
      </c>
      <c r="Z688" t="b">
        <v>0</v>
      </c>
      <c r="AA688" t="s">
        <v>35</v>
      </c>
      <c r="AB688" t="s">
        <v>45</v>
      </c>
      <c r="AC688" t="s">
        <v>884</v>
      </c>
    </row>
    <row r="689" spans="2:29" x14ac:dyDescent="0.35">
      <c r="B689" t="s">
        <v>879</v>
      </c>
      <c r="C689">
        <v>423.54</v>
      </c>
      <c r="D689" t="s">
        <v>39</v>
      </c>
      <c r="E689" s="10">
        <v>659.45105761017601</v>
      </c>
      <c r="F689" t="s">
        <v>30</v>
      </c>
      <c r="G689" s="14">
        <v>46113</v>
      </c>
      <c r="H689">
        <v>4879</v>
      </c>
      <c r="I689">
        <v>2066451.6600000001</v>
      </c>
      <c r="J689">
        <v>77602.877633814598</v>
      </c>
      <c r="K689" t="s">
        <v>880</v>
      </c>
      <c r="L689" s="9" t="s">
        <v>881</v>
      </c>
      <c r="M689" t="s">
        <v>33</v>
      </c>
      <c r="N689" s="12">
        <v>40.964625125664043</v>
      </c>
      <c r="O689" s="13">
        <v>6.2119280351324614E-2</v>
      </c>
      <c r="P689" s="9" t="s">
        <v>879</v>
      </c>
      <c r="Q689">
        <v>449.85</v>
      </c>
      <c r="R689">
        <v>449.85</v>
      </c>
      <c r="S689" t="s">
        <v>39</v>
      </c>
      <c r="T689">
        <v>700.41568273584005</v>
      </c>
      <c r="U689">
        <v>1037354.1000000001</v>
      </c>
      <c r="V689">
        <v>1615158.5643888472</v>
      </c>
      <c r="W689" t="s">
        <v>30</v>
      </c>
      <c r="X689" t="s">
        <v>882</v>
      </c>
      <c r="Y689" t="s">
        <v>883</v>
      </c>
      <c r="Z689" t="b">
        <v>0</v>
      </c>
      <c r="AA689" t="s">
        <v>35</v>
      </c>
      <c r="AB689" t="s">
        <v>45</v>
      </c>
      <c r="AC689" t="s">
        <v>884</v>
      </c>
    </row>
    <row r="690" spans="2:29" x14ac:dyDescent="0.35">
      <c r="B690" t="s">
        <v>879</v>
      </c>
      <c r="C690">
        <v>172.9</v>
      </c>
      <c r="D690" t="s">
        <v>39</v>
      </c>
      <c r="E690" s="10">
        <v>269.20500510176004</v>
      </c>
      <c r="F690" t="s">
        <v>30</v>
      </c>
      <c r="G690" s="14">
        <v>46113</v>
      </c>
      <c r="H690">
        <v>1004</v>
      </c>
      <c r="I690">
        <v>173591.6</v>
      </c>
      <c r="J690">
        <v>109937.409981237</v>
      </c>
      <c r="K690" t="s">
        <v>880</v>
      </c>
      <c r="L690" s="9" t="s">
        <v>881</v>
      </c>
      <c r="M690" t="s">
        <v>33</v>
      </c>
      <c r="N690" s="12">
        <v>1085.5080708897922</v>
      </c>
      <c r="O690" s="13">
        <v>4.0322729901677272</v>
      </c>
      <c r="P690" s="9" t="s">
        <v>879</v>
      </c>
      <c r="Q690">
        <v>870.08</v>
      </c>
      <c r="R690">
        <v>870.08</v>
      </c>
      <c r="S690" t="s">
        <v>39</v>
      </c>
      <c r="T690">
        <v>1354.7130759915522</v>
      </c>
      <c r="U690">
        <v>9546517.7599999998</v>
      </c>
      <c r="V690">
        <v>14863911.869779311</v>
      </c>
      <c r="W690" t="s">
        <v>30</v>
      </c>
      <c r="X690" t="s">
        <v>882</v>
      </c>
      <c r="Y690" t="s">
        <v>883</v>
      </c>
      <c r="Z690" t="b">
        <v>0</v>
      </c>
      <c r="AA690" t="s">
        <v>35</v>
      </c>
      <c r="AB690" t="s">
        <v>45</v>
      </c>
      <c r="AC690" t="s">
        <v>884</v>
      </c>
    </row>
    <row r="691" spans="2:29" x14ac:dyDescent="0.35">
      <c r="B691" t="s">
        <v>879</v>
      </c>
      <c r="C691">
        <v>927.43</v>
      </c>
      <c r="D691" t="s">
        <v>39</v>
      </c>
      <c r="E691" s="10">
        <v>1444.006928175392</v>
      </c>
      <c r="F691" t="s">
        <v>30</v>
      </c>
      <c r="G691" s="14">
        <v>46113</v>
      </c>
      <c r="H691">
        <v>4244</v>
      </c>
      <c r="I691">
        <v>3936012.92</v>
      </c>
      <c r="J691">
        <v>200474.216394694</v>
      </c>
      <c r="K691" t="s">
        <v>880</v>
      </c>
      <c r="L691" s="9" t="s">
        <v>881</v>
      </c>
      <c r="M691" t="s">
        <v>33</v>
      </c>
      <c r="N691" s="12">
        <v>670.17877585859196</v>
      </c>
      <c r="O691" s="13">
        <v>0.46411049890557776</v>
      </c>
      <c r="P691" s="9" t="s">
        <v>879</v>
      </c>
      <c r="Q691">
        <v>497</v>
      </c>
      <c r="R691">
        <v>497</v>
      </c>
      <c r="S691" t="s">
        <v>39</v>
      </c>
      <c r="T691">
        <v>773.82815231680001</v>
      </c>
      <c r="U691">
        <v>9332666</v>
      </c>
      <c r="V691">
        <v>14530945.04420487</v>
      </c>
      <c r="W691" t="s">
        <v>30</v>
      </c>
      <c r="X691" t="s">
        <v>882</v>
      </c>
      <c r="Y691" t="s">
        <v>883</v>
      </c>
      <c r="Z691" t="b">
        <v>0</v>
      </c>
      <c r="AA691" t="s">
        <v>35</v>
      </c>
      <c r="AB691" t="s">
        <v>45</v>
      </c>
      <c r="AC691" t="s">
        <v>884</v>
      </c>
    </row>
    <row r="692" spans="2:29" x14ac:dyDescent="0.35">
      <c r="B692" t="s">
        <v>885</v>
      </c>
      <c r="C692">
        <v>149.93</v>
      </c>
      <c r="D692" t="s">
        <v>39</v>
      </c>
      <c r="E692" s="10">
        <v>233.44075427939202</v>
      </c>
      <c r="F692" t="s">
        <v>30</v>
      </c>
      <c r="G692" s="14">
        <v>46113</v>
      </c>
      <c r="H692">
        <v>12128</v>
      </c>
      <c r="I692">
        <v>1818351.04</v>
      </c>
      <c r="J692">
        <v>85741.619118302304</v>
      </c>
      <c r="K692" t="s">
        <v>880</v>
      </c>
      <c r="L692" s="9" t="s">
        <v>881</v>
      </c>
      <c r="M692" t="s">
        <v>33</v>
      </c>
      <c r="N692" s="12">
        <v>678.41529683596787</v>
      </c>
      <c r="O692" s="13">
        <v>2.9061562062295727</v>
      </c>
      <c r="P692" s="9" t="s">
        <v>885</v>
      </c>
      <c r="Q692">
        <v>585.65</v>
      </c>
      <c r="R692">
        <v>585.65</v>
      </c>
      <c r="S692" t="s">
        <v>39</v>
      </c>
      <c r="T692">
        <v>911.85605111535995</v>
      </c>
      <c r="U692">
        <v>10569811.199999999</v>
      </c>
      <c r="V692">
        <v>16457178.010530015</v>
      </c>
      <c r="W692" t="s">
        <v>30</v>
      </c>
      <c r="X692" t="s">
        <v>882</v>
      </c>
      <c r="Y692" t="s">
        <v>886</v>
      </c>
      <c r="Z692" t="b">
        <v>0</v>
      </c>
      <c r="AA692" t="s">
        <v>35</v>
      </c>
      <c r="AB692" t="s">
        <v>45</v>
      </c>
      <c r="AC692" t="s">
        <v>884</v>
      </c>
    </row>
    <row r="693" spans="2:29" x14ac:dyDescent="0.35">
      <c r="B693" t="s">
        <v>885</v>
      </c>
      <c r="C693">
        <v>170.63</v>
      </c>
      <c r="D693" t="s">
        <v>39</v>
      </c>
      <c r="E693" s="10">
        <v>265.67061897347202</v>
      </c>
      <c r="F693" t="s">
        <v>30</v>
      </c>
      <c r="G693" s="14">
        <v>46113</v>
      </c>
      <c r="H693">
        <v>1317</v>
      </c>
      <c r="I693">
        <v>224719.71</v>
      </c>
      <c r="J693">
        <v>21743.6680210913</v>
      </c>
      <c r="K693" t="s">
        <v>880</v>
      </c>
      <c r="L693" s="9" t="s">
        <v>881</v>
      </c>
      <c r="M693" t="s">
        <v>33</v>
      </c>
      <c r="N693" s="12">
        <v>88.390793173088014</v>
      </c>
      <c r="O693" s="13">
        <v>0.33270819902713478</v>
      </c>
      <c r="P693" s="9" t="s">
        <v>885</v>
      </c>
      <c r="Q693">
        <v>227.4</v>
      </c>
      <c r="R693">
        <v>227.4</v>
      </c>
      <c r="S693" t="s">
        <v>39</v>
      </c>
      <c r="T693">
        <v>354.06141214656003</v>
      </c>
      <c r="U693">
        <v>3547212.6</v>
      </c>
      <c r="V693">
        <v>5523003.9680741895</v>
      </c>
      <c r="W693" t="s">
        <v>30</v>
      </c>
      <c r="X693" t="s">
        <v>882</v>
      </c>
      <c r="Y693" t="s">
        <v>886</v>
      </c>
      <c r="Z693" t="b">
        <v>0</v>
      </c>
      <c r="AA693" t="s">
        <v>35</v>
      </c>
      <c r="AB693" t="s">
        <v>45</v>
      </c>
      <c r="AC693" t="s">
        <v>884</v>
      </c>
    </row>
    <row r="694" spans="2:29" x14ac:dyDescent="0.35">
      <c r="B694" t="s">
        <v>887</v>
      </c>
      <c r="C694">
        <v>763.38</v>
      </c>
      <c r="D694" t="s">
        <v>39</v>
      </c>
      <c r="E694" s="10">
        <v>1188.581357979072</v>
      </c>
      <c r="F694" t="s">
        <v>30</v>
      </c>
      <c r="G694" s="14">
        <v>46113</v>
      </c>
      <c r="H694">
        <v>10220</v>
      </c>
      <c r="I694">
        <v>7801743.5999999996</v>
      </c>
      <c r="J694">
        <v>81757.716372033305</v>
      </c>
      <c r="K694" t="s">
        <v>880</v>
      </c>
      <c r="L694" s="9" t="s">
        <v>881</v>
      </c>
      <c r="M694" t="s">
        <v>33</v>
      </c>
      <c r="N694" s="12">
        <v>617.91034311558394</v>
      </c>
      <c r="O694" s="13">
        <v>0.519872147554298</v>
      </c>
      <c r="P694" s="9" t="s">
        <v>887</v>
      </c>
      <c r="Q694">
        <v>366.52</v>
      </c>
      <c r="R694">
        <v>366.52</v>
      </c>
      <c r="S694" t="s">
        <v>39</v>
      </c>
      <c r="T694">
        <v>570.67101486348804</v>
      </c>
      <c r="U694">
        <v>236038.87999999998</v>
      </c>
      <c r="V694">
        <v>367512.13357208628</v>
      </c>
      <c r="W694" t="s">
        <v>30</v>
      </c>
      <c r="X694" t="s">
        <v>882</v>
      </c>
      <c r="Y694" t="s">
        <v>888</v>
      </c>
      <c r="Z694" t="b">
        <v>0</v>
      </c>
      <c r="AA694" t="s">
        <v>35</v>
      </c>
      <c r="AB694" t="s">
        <v>45</v>
      </c>
      <c r="AC694" t="s">
        <v>884</v>
      </c>
    </row>
    <row r="695" spans="2:29" x14ac:dyDescent="0.35">
      <c r="B695" t="s">
        <v>887</v>
      </c>
      <c r="C695">
        <v>645.04</v>
      </c>
      <c r="D695" t="s">
        <v>39</v>
      </c>
      <c r="E695" s="10">
        <v>1004.3261798197759</v>
      </c>
      <c r="F695" t="s">
        <v>30</v>
      </c>
      <c r="G695" s="14">
        <v>46113</v>
      </c>
      <c r="H695">
        <v>17518</v>
      </c>
      <c r="I695">
        <v>11299810.719999999</v>
      </c>
      <c r="J695">
        <v>55218.663005604401</v>
      </c>
      <c r="K695" t="s">
        <v>880</v>
      </c>
      <c r="L695" s="9" t="s">
        <v>881</v>
      </c>
      <c r="M695" t="s">
        <v>33</v>
      </c>
      <c r="N695" s="12">
        <v>658.89053822419191</v>
      </c>
      <c r="O695" s="13">
        <v>0.65605233783951378</v>
      </c>
      <c r="P695" s="9" t="s">
        <v>887</v>
      </c>
      <c r="Q695">
        <v>221.86</v>
      </c>
      <c r="R695">
        <v>221.86</v>
      </c>
      <c r="S695" t="s">
        <v>39</v>
      </c>
      <c r="T695">
        <v>345.435641595584</v>
      </c>
      <c r="U695">
        <v>3672004.8600000003</v>
      </c>
      <c r="V695">
        <v>5717305.3040485112</v>
      </c>
      <c r="W695" t="s">
        <v>30</v>
      </c>
      <c r="X695" t="s">
        <v>882</v>
      </c>
      <c r="Y695" t="s">
        <v>888</v>
      </c>
      <c r="Z695" t="b">
        <v>0</v>
      </c>
      <c r="AA695" t="s">
        <v>35</v>
      </c>
      <c r="AB695" t="s">
        <v>45</v>
      </c>
      <c r="AC695" t="s">
        <v>884</v>
      </c>
    </row>
    <row r="696" spans="2:29" x14ac:dyDescent="0.35">
      <c r="B696" t="s">
        <v>889</v>
      </c>
      <c r="C696">
        <v>229.18</v>
      </c>
      <c r="D696" t="s">
        <v>39</v>
      </c>
      <c r="E696" s="10">
        <v>356.83286911059201</v>
      </c>
      <c r="F696" t="s">
        <v>30</v>
      </c>
      <c r="G696" s="14">
        <v>46113</v>
      </c>
      <c r="H696">
        <v>19273</v>
      </c>
      <c r="I696">
        <v>4416986.1400000006</v>
      </c>
      <c r="J696">
        <v>124161.142446376</v>
      </c>
      <c r="K696" t="s">
        <v>880</v>
      </c>
      <c r="L696" s="9" t="s">
        <v>881</v>
      </c>
      <c r="M696" t="s">
        <v>33</v>
      </c>
      <c r="N696" s="12">
        <v>449.38084772972798</v>
      </c>
      <c r="O696" s="13">
        <v>1.2593594554498646</v>
      </c>
      <c r="P696" s="9" t="s">
        <v>889</v>
      </c>
      <c r="Q696">
        <v>517.79999999999995</v>
      </c>
      <c r="R696">
        <v>517.79999999999995</v>
      </c>
      <c r="S696" t="s">
        <v>39</v>
      </c>
      <c r="T696">
        <v>806.21371684031999</v>
      </c>
      <c r="U696">
        <v>9159882</v>
      </c>
      <c r="V696">
        <v>14261920.650905261</v>
      </c>
      <c r="W696" t="s">
        <v>30</v>
      </c>
      <c r="X696" t="s">
        <v>882</v>
      </c>
      <c r="Y696" t="s">
        <v>890</v>
      </c>
      <c r="Z696" t="b">
        <v>0</v>
      </c>
      <c r="AA696" t="s">
        <v>35</v>
      </c>
      <c r="AB696" t="s">
        <v>45</v>
      </c>
      <c r="AC696" t="s">
        <v>884</v>
      </c>
    </row>
    <row r="697" spans="2:29" x14ac:dyDescent="0.35">
      <c r="B697" t="s">
        <v>891</v>
      </c>
      <c r="C697">
        <v>587.12</v>
      </c>
      <c r="D697" t="s">
        <v>39</v>
      </c>
      <c r="E697" s="10">
        <v>914.144838608128</v>
      </c>
      <c r="F697" t="s">
        <v>30</v>
      </c>
      <c r="G697" s="14">
        <v>46113</v>
      </c>
      <c r="H697">
        <v>2724</v>
      </c>
      <c r="I697">
        <v>1599314.8800000001</v>
      </c>
      <c r="J697">
        <v>4990.1795335520001</v>
      </c>
      <c r="K697" t="s">
        <v>61</v>
      </c>
      <c r="L697" s="9" t="s">
        <v>892</v>
      </c>
      <c r="M697" t="s">
        <v>33</v>
      </c>
      <c r="N697" s="12">
        <v>12.144586696319948</v>
      </c>
      <c r="O697" s="13">
        <v>1.3285188717808909E-2</v>
      </c>
      <c r="P697" s="9" t="s">
        <v>891</v>
      </c>
      <c r="Q697">
        <v>579.32000000000005</v>
      </c>
      <c r="R697">
        <v>579.32000000000005</v>
      </c>
      <c r="S697" t="s">
        <v>39</v>
      </c>
      <c r="T697">
        <v>902.00025191180805</v>
      </c>
      <c r="U697">
        <v>9641622.7600000016</v>
      </c>
      <c r="V697">
        <v>15011990.192568222</v>
      </c>
      <c r="W697" t="s">
        <v>30</v>
      </c>
      <c r="X697" t="s">
        <v>893</v>
      </c>
      <c r="Y697" t="s">
        <v>894</v>
      </c>
      <c r="Z697" t="b">
        <v>0</v>
      </c>
      <c r="AA697" t="s">
        <v>44</v>
      </c>
      <c r="AB697" t="s">
        <v>45</v>
      </c>
      <c r="AC697" t="s">
        <v>187</v>
      </c>
    </row>
    <row r="698" spans="2:29" x14ac:dyDescent="0.35">
      <c r="B698" t="s">
        <v>895</v>
      </c>
      <c r="C698">
        <v>5.23</v>
      </c>
      <c r="D698" t="s">
        <v>39</v>
      </c>
      <c r="E698" s="10">
        <v>8.1431010797120003</v>
      </c>
      <c r="F698" t="s">
        <v>30</v>
      </c>
      <c r="G698" s="14">
        <v>46113</v>
      </c>
      <c r="H698">
        <v>10158</v>
      </c>
      <c r="I698">
        <v>53126.340000000004</v>
      </c>
      <c r="J698">
        <v>7657.7068614328</v>
      </c>
      <c r="K698" t="s">
        <v>61</v>
      </c>
      <c r="L698" s="9" t="s">
        <v>892</v>
      </c>
      <c r="M698" t="s">
        <v>33</v>
      </c>
      <c r="N698" s="12">
        <v>1478.7435601234561</v>
      </c>
      <c r="O698" s="13">
        <v>181.59464627151053</v>
      </c>
      <c r="P698" s="9" t="s">
        <v>895</v>
      </c>
      <c r="Q698">
        <v>954.97</v>
      </c>
      <c r="R698">
        <v>954.97</v>
      </c>
      <c r="S698" t="s">
        <v>39</v>
      </c>
      <c r="T698">
        <v>1486.8866612031682</v>
      </c>
      <c r="U698">
        <v>3445531.7600000002</v>
      </c>
      <c r="V698">
        <v>5364687.0736210309</v>
      </c>
      <c r="W698" t="s">
        <v>30</v>
      </c>
      <c r="X698" t="s">
        <v>893</v>
      </c>
      <c r="Y698" t="s">
        <v>896</v>
      </c>
      <c r="Z698" t="b">
        <v>0</v>
      </c>
      <c r="AA698" t="s">
        <v>44</v>
      </c>
      <c r="AB698" t="s">
        <v>45</v>
      </c>
      <c r="AC698" t="s">
        <v>187</v>
      </c>
    </row>
    <row r="699" spans="2:29" x14ac:dyDescent="0.35">
      <c r="B699" t="s">
        <v>895</v>
      </c>
      <c r="C699">
        <v>532.98</v>
      </c>
      <c r="D699" t="s">
        <v>39</v>
      </c>
      <c r="E699" s="10">
        <v>829.8489509493121</v>
      </c>
      <c r="F699" t="s">
        <v>30</v>
      </c>
      <c r="G699" s="14">
        <v>46113</v>
      </c>
      <c r="H699">
        <v>4706</v>
      </c>
      <c r="I699">
        <v>2508203.88</v>
      </c>
      <c r="J699">
        <v>15314.6352237184</v>
      </c>
      <c r="K699" t="s">
        <v>61</v>
      </c>
      <c r="L699" s="9" t="s">
        <v>892</v>
      </c>
      <c r="M699" t="s">
        <v>33</v>
      </c>
      <c r="N699" s="12">
        <v>708.87018347443211</v>
      </c>
      <c r="O699" s="13">
        <v>0.85421591804570529</v>
      </c>
      <c r="P699" s="9" t="s">
        <v>895</v>
      </c>
      <c r="Q699">
        <v>77.7</v>
      </c>
      <c r="R699">
        <v>77.7</v>
      </c>
      <c r="S699" t="s">
        <v>39</v>
      </c>
      <c r="T699">
        <v>120.97876747488</v>
      </c>
      <c r="U699">
        <v>1356331.2</v>
      </c>
      <c r="V699">
        <v>2111805.3650415051</v>
      </c>
      <c r="W699" t="s">
        <v>30</v>
      </c>
      <c r="X699" t="s">
        <v>893</v>
      </c>
      <c r="Y699" t="s">
        <v>896</v>
      </c>
      <c r="Z699" t="b">
        <v>0</v>
      </c>
      <c r="AA699" t="s">
        <v>44</v>
      </c>
      <c r="AB699" t="s">
        <v>45</v>
      </c>
      <c r="AC699" t="s">
        <v>187</v>
      </c>
    </row>
    <row r="700" spans="2:29" x14ac:dyDescent="0.35">
      <c r="B700" t="s">
        <v>897</v>
      </c>
      <c r="C700">
        <v>507.11</v>
      </c>
      <c r="D700" t="s">
        <v>39</v>
      </c>
      <c r="E700" s="10">
        <v>789.56940507318404</v>
      </c>
      <c r="F700" t="s">
        <v>30</v>
      </c>
      <c r="G700" s="14">
        <v>46113</v>
      </c>
      <c r="H700">
        <v>9955</v>
      </c>
      <c r="I700">
        <v>5048280.05</v>
      </c>
      <c r="J700">
        <v>8499.6536891296</v>
      </c>
      <c r="K700" t="s">
        <v>61</v>
      </c>
      <c r="L700" s="9" t="s">
        <v>892</v>
      </c>
      <c r="M700" t="s">
        <v>33</v>
      </c>
      <c r="N700" s="12">
        <v>386.94521612428798</v>
      </c>
      <c r="O700" s="13">
        <v>0.49007118771075303</v>
      </c>
      <c r="P700" s="9" t="s">
        <v>897</v>
      </c>
      <c r="Q700">
        <v>755.63</v>
      </c>
      <c r="R700">
        <v>755.63</v>
      </c>
      <c r="S700" t="s">
        <v>39</v>
      </c>
      <c r="T700">
        <v>1176.514621197472</v>
      </c>
      <c r="U700">
        <v>9012399.0099999998</v>
      </c>
      <c r="V700">
        <v>14032289.887022249</v>
      </c>
      <c r="W700" t="s">
        <v>30</v>
      </c>
      <c r="X700" t="s">
        <v>893</v>
      </c>
      <c r="Y700" t="s">
        <v>898</v>
      </c>
      <c r="Z700" t="b">
        <v>0</v>
      </c>
      <c r="AA700" t="s">
        <v>44</v>
      </c>
      <c r="AB700" t="s">
        <v>45</v>
      </c>
      <c r="AC700" t="s">
        <v>187</v>
      </c>
    </row>
    <row r="701" spans="2:29" x14ac:dyDescent="0.35">
      <c r="B701" t="s">
        <v>897</v>
      </c>
      <c r="C701">
        <v>223.86</v>
      </c>
      <c r="D701" t="s">
        <v>39</v>
      </c>
      <c r="E701" s="10">
        <v>348.54963818438404</v>
      </c>
      <c r="F701" t="s">
        <v>30</v>
      </c>
      <c r="G701" s="14">
        <v>46113</v>
      </c>
      <c r="H701">
        <v>18831</v>
      </c>
      <c r="I701">
        <v>4215507.66</v>
      </c>
      <c r="J701">
        <v>4249.8268445648</v>
      </c>
      <c r="K701" t="s">
        <v>61</v>
      </c>
      <c r="L701" s="9" t="s">
        <v>892</v>
      </c>
      <c r="M701" t="s">
        <v>33</v>
      </c>
      <c r="N701" s="12">
        <v>222.12137667910403</v>
      </c>
      <c r="O701" s="13">
        <v>0.63727329580988124</v>
      </c>
      <c r="P701" s="9" t="s">
        <v>897</v>
      </c>
      <c r="Q701">
        <v>81.2</v>
      </c>
      <c r="R701">
        <v>81.2</v>
      </c>
      <c r="S701" t="s">
        <v>39</v>
      </c>
      <c r="T701">
        <v>126.42826150528001</v>
      </c>
      <c r="U701">
        <v>234099.6</v>
      </c>
      <c r="V701">
        <v>364492.67791972228</v>
      </c>
      <c r="W701" t="s">
        <v>30</v>
      </c>
      <c r="X701" t="s">
        <v>893</v>
      </c>
      <c r="Y701" t="s">
        <v>898</v>
      </c>
      <c r="Z701" t="b">
        <v>0</v>
      </c>
      <c r="AA701" t="s">
        <v>44</v>
      </c>
      <c r="AB701" t="s">
        <v>45</v>
      </c>
      <c r="AC701" t="s">
        <v>187</v>
      </c>
    </row>
    <row r="702" spans="2:29" x14ac:dyDescent="0.35">
      <c r="B702" t="s">
        <v>899</v>
      </c>
      <c r="C702">
        <v>91.37</v>
      </c>
      <c r="D702" t="s">
        <v>179</v>
      </c>
      <c r="E702" s="10">
        <v>91.37</v>
      </c>
      <c r="F702" t="s">
        <v>30</v>
      </c>
      <c r="G702" s="14">
        <v>46113</v>
      </c>
      <c r="H702">
        <v>19240</v>
      </c>
      <c r="I702">
        <v>1757958.8</v>
      </c>
      <c r="J702">
        <v>28100</v>
      </c>
      <c r="K702" t="s">
        <v>900</v>
      </c>
      <c r="L702" s="9" t="s">
        <v>901</v>
      </c>
      <c r="M702" t="s">
        <v>50</v>
      </c>
      <c r="N702" s="12">
        <v>1322.4155912810879</v>
      </c>
      <c r="O702" s="13">
        <v>14.473192418530019</v>
      </c>
      <c r="P702" s="9" t="s">
        <v>899</v>
      </c>
      <c r="Q702">
        <v>908.02</v>
      </c>
      <c r="R702">
        <v>908.02</v>
      </c>
      <c r="S702" t="s">
        <v>39</v>
      </c>
      <c r="T702">
        <v>1413.785591281088</v>
      </c>
      <c r="U702">
        <v>11818788.32</v>
      </c>
      <c r="V702">
        <v>18401833.256114643</v>
      </c>
      <c r="W702" t="s">
        <v>30</v>
      </c>
      <c r="X702" t="s">
        <v>902</v>
      </c>
      <c r="Y702" t="s">
        <v>903</v>
      </c>
      <c r="Z702" t="b">
        <v>0</v>
      </c>
      <c r="AA702" t="s">
        <v>44</v>
      </c>
      <c r="AB702" t="s">
        <v>36</v>
      </c>
      <c r="AC702" t="s">
        <v>434</v>
      </c>
    </row>
    <row r="703" spans="2:29" x14ac:dyDescent="0.35">
      <c r="B703" t="s">
        <v>904</v>
      </c>
      <c r="C703">
        <v>159.27000000000001</v>
      </c>
      <c r="D703" t="s">
        <v>179</v>
      </c>
      <c r="E703" s="10">
        <v>159.27000000000001</v>
      </c>
      <c r="F703" t="s">
        <v>30</v>
      </c>
      <c r="G703" s="14">
        <v>46113</v>
      </c>
      <c r="H703">
        <v>13743</v>
      </c>
      <c r="I703">
        <v>2188847.6100000003</v>
      </c>
      <c r="J703">
        <v>22960</v>
      </c>
      <c r="K703" t="s">
        <v>900</v>
      </c>
      <c r="L703" s="9" t="s">
        <v>901</v>
      </c>
      <c r="M703" t="s">
        <v>50</v>
      </c>
      <c r="N703" s="12">
        <v>151.43829857916802</v>
      </c>
      <c r="O703" s="13">
        <v>0.95082751666458221</v>
      </c>
      <c r="P703" s="9" t="s">
        <v>904</v>
      </c>
      <c r="Q703">
        <v>5.03</v>
      </c>
      <c r="R703">
        <v>5.03</v>
      </c>
      <c r="S703" t="s">
        <v>39</v>
      </c>
      <c r="T703">
        <v>7.8317014208320002</v>
      </c>
      <c r="U703">
        <v>90006.82</v>
      </c>
      <c r="V703">
        <v>140140.4652243678</v>
      </c>
      <c r="W703" t="s">
        <v>30</v>
      </c>
      <c r="X703" t="s">
        <v>902</v>
      </c>
      <c r="Y703" t="s">
        <v>905</v>
      </c>
      <c r="Z703" t="b">
        <v>0</v>
      </c>
      <c r="AA703" t="s">
        <v>44</v>
      </c>
      <c r="AB703" t="s">
        <v>36</v>
      </c>
      <c r="AC703" t="s">
        <v>434</v>
      </c>
    </row>
    <row r="704" spans="2:29" x14ac:dyDescent="0.35">
      <c r="B704" t="s">
        <v>906</v>
      </c>
      <c r="C704">
        <v>913.58</v>
      </c>
      <c r="D704" t="s">
        <v>179</v>
      </c>
      <c r="E704" s="10">
        <v>913.58</v>
      </c>
      <c r="F704" t="s">
        <v>30</v>
      </c>
      <c r="G704" s="14">
        <v>46113</v>
      </c>
      <c r="H704">
        <v>9430</v>
      </c>
      <c r="I704">
        <v>8615059.4000000004</v>
      </c>
      <c r="J704">
        <v>24000</v>
      </c>
      <c r="K704" t="s">
        <v>900</v>
      </c>
      <c r="L704" s="9" t="s">
        <v>901</v>
      </c>
      <c r="M704" t="s">
        <v>50</v>
      </c>
      <c r="N704" s="12">
        <v>27.710250418175974</v>
      </c>
      <c r="O704" s="13">
        <v>3.0331498520300326E-2</v>
      </c>
      <c r="P704" s="9" t="s">
        <v>906</v>
      </c>
      <c r="Q704">
        <v>568.96</v>
      </c>
      <c r="R704">
        <v>568.96</v>
      </c>
      <c r="S704" t="s">
        <v>39</v>
      </c>
      <c r="T704">
        <v>885.86974958182407</v>
      </c>
      <c r="U704">
        <v>1701759.36</v>
      </c>
      <c r="V704">
        <v>2649636.4209992359</v>
      </c>
      <c r="W704" t="s">
        <v>30</v>
      </c>
      <c r="X704" t="s">
        <v>902</v>
      </c>
      <c r="Y704" t="s">
        <v>907</v>
      </c>
      <c r="Z704" t="b">
        <v>0</v>
      </c>
      <c r="AA704" t="s">
        <v>44</v>
      </c>
      <c r="AB704" t="s">
        <v>36</v>
      </c>
      <c r="AC704" t="s">
        <v>46</v>
      </c>
    </row>
    <row r="705" spans="2:29" x14ac:dyDescent="0.35">
      <c r="B705" t="s">
        <v>908</v>
      </c>
      <c r="C705">
        <v>841.46</v>
      </c>
      <c r="D705" t="s">
        <v>179</v>
      </c>
      <c r="E705" s="10">
        <v>841.46</v>
      </c>
      <c r="F705" t="s">
        <v>30</v>
      </c>
      <c r="G705" s="14">
        <v>46113</v>
      </c>
      <c r="H705">
        <v>4820</v>
      </c>
      <c r="I705">
        <v>4055837.2</v>
      </c>
      <c r="J705">
        <v>7598.5</v>
      </c>
      <c r="K705" t="s">
        <v>900</v>
      </c>
      <c r="L705" s="9" t="s">
        <v>901</v>
      </c>
      <c r="M705" t="s">
        <v>50</v>
      </c>
      <c r="N705" s="12">
        <v>357.39754672211211</v>
      </c>
      <c r="O705" s="13">
        <v>0.42473503995687506</v>
      </c>
      <c r="P705" s="9" t="s">
        <v>908</v>
      </c>
      <c r="Q705">
        <v>769.98</v>
      </c>
      <c r="R705">
        <v>769.98</v>
      </c>
      <c r="S705" t="s">
        <v>39</v>
      </c>
      <c r="T705">
        <v>1198.8575467221121</v>
      </c>
      <c r="U705">
        <v>6003534.0600000005</v>
      </c>
      <c r="V705">
        <v>9347492.2917923089</v>
      </c>
      <c r="W705" t="s">
        <v>30</v>
      </c>
      <c r="X705" t="s">
        <v>902</v>
      </c>
      <c r="Y705" t="s">
        <v>909</v>
      </c>
      <c r="Z705" t="b">
        <v>0</v>
      </c>
      <c r="AA705" t="s">
        <v>44</v>
      </c>
      <c r="AB705" t="s">
        <v>36</v>
      </c>
      <c r="AC705" t="s">
        <v>434</v>
      </c>
    </row>
    <row r="706" spans="2:29" x14ac:dyDescent="0.35">
      <c r="B706" t="s">
        <v>908</v>
      </c>
      <c r="C706">
        <v>881.84</v>
      </c>
      <c r="D706" t="s">
        <v>179</v>
      </c>
      <c r="E706" s="10">
        <v>881.84</v>
      </c>
      <c r="F706" t="s">
        <v>30</v>
      </c>
      <c r="G706" s="14">
        <v>46113</v>
      </c>
      <c r="H706">
        <v>3507</v>
      </c>
      <c r="I706">
        <v>3092612.88</v>
      </c>
      <c r="J706">
        <v>9554.07</v>
      </c>
      <c r="K706" t="s">
        <v>900</v>
      </c>
      <c r="L706" s="9" t="s">
        <v>901</v>
      </c>
      <c r="M706" t="s">
        <v>50</v>
      </c>
      <c r="N706" s="12">
        <v>593.48391587712013</v>
      </c>
      <c r="O706" s="13">
        <v>0.67300634568302653</v>
      </c>
      <c r="P706" s="9" t="s">
        <v>908</v>
      </c>
      <c r="Q706">
        <v>185.2</v>
      </c>
      <c r="R706">
        <v>185.2</v>
      </c>
      <c r="S706" t="s">
        <v>39</v>
      </c>
      <c r="T706">
        <v>288.35608412287996</v>
      </c>
      <c r="U706">
        <v>3215257.1999999997</v>
      </c>
      <c r="V706">
        <v>5006149.9764573192</v>
      </c>
      <c r="W706" t="s">
        <v>30</v>
      </c>
      <c r="X706" t="s">
        <v>902</v>
      </c>
      <c r="Y706" t="s">
        <v>909</v>
      </c>
      <c r="Z706" t="b">
        <v>0</v>
      </c>
      <c r="AA706" t="s">
        <v>44</v>
      </c>
      <c r="AB706" t="s">
        <v>36</v>
      </c>
      <c r="AC706" t="s">
        <v>434</v>
      </c>
    </row>
    <row r="707" spans="2:29" x14ac:dyDescent="0.35">
      <c r="B707" t="s">
        <v>910</v>
      </c>
      <c r="C707">
        <v>683.77</v>
      </c>
      <c r="D707" t="s">
        <v>575</v>
      </c>
      <c r="E707" s="10">
        <v>910.40283141999987</v>
      </c>
      <c r="F707" t="s">
        <v>30</v>
      </c>
      <c r="G707" s="14">
        <v>46113</v>
      </c>
      <c r="H707">
        <v>14639</v>
      </c>
      <c r="I707">
        <v>10009709.029999999</v>
      </c>
      <c r="J707">
        <v>159517.88236799999</v>
      </c>
      <c r="K707" t="s">
        <v>911</v>
      </c>
      <c r="L707" s="9" t="s">
        <v>912</v>
      </c>
      <c r="M707" t="s">
        <v>33</v>
      </c>
      <c r="N707" s="12">
        <v>34.746990649439908</v>
      </c>
      <c r="O707" s="13">
        <v>3.8166610922379628E-2</v>
      </c>
      <c r="P707" s="9" t="s">
        <v>910</v>
      </c>
      <c r="Q707">
        <v>562.4</v>
      </c>
      <c r="R707">
        <v>562.4</v>
      </c>
      <c r="S707" t="s">
        <v>39</v>
      </c>
      <c r="T707">
        <v>875.65584077055996</v>
      </c>
      <c r="U707">
        <v>10334100</v>
      </c>
      <c r="V707">
        <v>16090176.074159039</v>
      </c>
      <c r="W707" t="s">
        <v>30</v>
      </c>
      <c r="X707" t="s">
        <v>913</v>
      </c>
      <c r="Y707" t="s">
        <v>381</v>
      </c>
      <c r="Z707" t="b">
        <v>0</v>
      </c>
      <c r="AA707" t="s">
        <v>44</v>
      </c>
      <c r="AB707" t="s">
        <v>36</v>
      </c>
      <c r="AC707" t="s">
        <v>382</v>
      </c>
    </row>
    <row r="708" spans="2:29" x14ac:dyDescent="0.35">
      <c r="B708" t="s">
        <v>914</v>
      </c>
      <c r="C708">
        <v>697.29</v>
      </c>
      <c r="D708" t="s">
        <v>575</v>
      </c>
      <c r="E708" s="10">
        <v>928.40398133999986</v>
      </c>
      <c r="F708" t="s">
        <v>30</v>
      </c>
      <c r="G708" s="14">
        <v>46113</v>
      </c>
      <c r="H708">
        <v>8187</v>
      </c>
      <c r="I708">
        <v>5708713.2299999995</v>
      </c>
      <c r="J708">
        <v>124773.133275</v>
      </c>
      <c r="K708" t="s">
        <v>911</v>
      </c>
      <c r="L708" s="9" t="s">
        <v>912</v>
      </c>
      <c r="M708" t="s">
        <v>33</v>
      </c>
      <c r="N708" s="12">
        <v>153.04997069468777</v>
      </c>
      <c r="O708" s="13">
        <v>0.1648527728993418</v>
      </c>
      <c r="P708" s="9" t="s">
        <v>914</v>
      </c>
      <c r="Q708">
        <v>497.98</v>
      </c>
      <c r="R708">
        <v>497.98</v>
      </c>
      <c r="S708" t="s">
        <v>39</v>
      </c>
      <c r="T708">
        <v>775.35401064531209</v>
      </c>
      <c r="U708">
        <v>3601391.3600000003</v>
      </c>
      <c r="V708">
        <v>5607360.2049868973</v>
      </c>
      <c r="W708" t="s">
        <v>30</v>
      </c>
      <c r="X708" t="s">
        <v>913</v>
      </c>
      <c r="Y708" t="s">
        <v>381</v>
      </c>
      <c r="Z708" t="b">
        <v>0</v>
      </c>
      <c r="AA708" t="s">
        <v>44</v>
      </c>
      <c r="AB708" t="s">
        <v>36</v>
      </c>
      <c r="AC708" t="s">
        <v>382</v>
      </c>
    </row>
    <row r="709" spans="2:29" x14ac:dyDescent="0.35">
      <c r="B709" t="s">
        <v>915</v>
      </c>
      <c r="C709">
        <v>214.49</v>
      </c>
      <c r="D709" t="s">
        <v>575</v>
      </c>
      <c r="E709" s="10">
        <v>285.58185254</v>
      </c>
      <c r="F709" t="s">
        <v>30</v>
      </c>
      <c r="G709" s="14">
        <v>46113</v>
      </c>
      <c r="H709">
        <v>5493</v>
      </c>
      <c r="I709">
        <v>1178193.57</v>
      </c>
      <c r="J709">
        <v>6065.0667286079997</v>
      </c>
      <c r="K709" t="s">
        <v>911</v>
      </c>
      <c r="L709" s="9" t="s">
        <v>912</v>
      </c>
      <c r="M709" t="s">
        <v>33</v>
      </c>
      <c r="N709" s="12">
        <v>48.005032035200031</v>
      </c>
      <c r="O709" s="13">
        <v>0.16809552710803363</v>
      </c>
      <c r="P709" s="9" t="s">
        <v>915</v>
      </c>
      <c r="Q709">
        <v>214.25</v>
      </c>
      <c r="R709">
        <v>214.25</v>
      </c>
      <c r="S709" t="s">
        <v>39</v>
      </c>
      <c r="T709">
        <v>333.58688457520003</v>
      </c>
      <c r="U709">
        <v>2078653.5</v>
      </c>
      <c r="V709">
        <v>3236459.9541485906</v>
      </c>
      <c r="W709" t="s">
        <v>30</v>
      </c>
      <c r="X709" t="s">
        <v>913</v>
      </c>
      <c r="Y709" t="s">
        <v>381</v>
      </c>
      <c r="Z709" t="b">
        <v>0</v>
      </c>
      <c r="AA709" t="s">
        <v>44</v>
      </c>
      <c r="AB709" t="s">
        <v>36</v>
      </c>
      <c r="AC709" t="s">
        <v>382</v>
      </c>
    </row>
    <row r="710" spans="2:29" x14ac:dyDescent="0.35">
      <c r="B710" t="s">
        <v>916</v>
      </c>
      <c r="C710">
        <v>532.12</v>
      </c>
      <c r="D710" t="s">
        <v>575</v>
      </c>
      <c r="E710" s="10">
        <v>708.48904551999999</v>
      </c>
      <c r="F710" t="s">
        <v>30</v>
      </c>
      <c r="G710" s="14">
        <v>46113</v>
      </c>
      <c r="H710">
        <v>5183</v>
      </c>
      <c r="I710">
        <v>2757977.96</v>
      </c>
      <c r="J710">
        <v>6990.0915000000005</v>
      </c>
      <c r="K710" t="s">
        <v>911</v>
      </c>
      <c r="L710" s="9" t="s">
        <v>912</v>
      </c>
      <c r="M710" t="s">
        <v>33</v>
      </c>
      <c r="N710" s="12">
        <v>174.00267101836801</v>
      </c>
      <c r="O710" s="13">
        <v>0.2455968403726802</v>
      </c>
      <c r="P710" s="9" t="s">
        <v>916</v>
      </c>
      <c r="Q710">
        <v>343.28</v>
      </c>
      <c r="R710">
        <v>343.28</v>
      </c>
      <c r="S710" t="s">
        <v>39</v>
      </c>
      <c r="T710">
        <v>534.48637450163199</v>
      </c>
      <c r="U710">
        <v>4637026.2399999993</v>
      </c>
      <c r="V710">
        <v>7219841.9467680445</v>
      </c>
      <c r="W710" t="s">
        <v>30</v>
      </c>
      <c r="X710" t="s">
        <v>913</v>
      </c>
      <c r="Y710" t="s">
        <v>917</v>
      </c>
      <c r="Z710" t="b">
        <v>0</v>
      </c>
      <c r="AA710" t="s">
        <v>44</v>
      </c>
      <c r="AB710" t="s">
        <v>36</v>
      </c>
      <c r="AC710" t="s">
        <v>273</v>
      </c>
    </row>
    <row r="711" spans="2:29" x14ac:dyDescent="0.35">
      <c r="B711" t="s">
        <v>918</v>
      </c>
      <c r="C711">
        <v>968.59</v>
      </c>
      <c r="D711" t="s">
        <v>575</v>
      </c>
      <c r="E711" s="10">
        <v>1289.62528114</v>
      </c>
      <c r="F711" t="s">
        <v>30</v>
      </c>
      <c r="G711" s="14">
        <v>46113</v>
      </c>
      <c r="H711">
        <v>13780</v>
      </c>
      <c r="I711">
        <v>13347170.200000001</v>
      </c>
      <c r="J711">
        <v>291324.64542720001</v>
      </c>
      <c r="K711" t="s">
        <v>911</v>
      </c>
      <c r="L711" s="9" t="s">
        <v>912</v>
      </c>
      <c r="M711" t="s">
        <v>33</v>
      </c>
      <c r="N711" s="12">
        <v>546.29872541049588</v>
      </c>
      <c r="O711" s="13">
        <v>0.42361043428644635</v>
      </c>
      <c r="P711" s="9" t="s">
        <v>918</v>
      </c>
      <c r="Q711">
        <v>477.41</v>
      </c>
      <c r="R711">
        <v>477.41</v>
      </c>
      <c r="S711" t="s">
        <v>39</v>
      </c>
      <c r="T711">
        <v>743.32655572950409</v>
      </c>
      <c r="U711">
        <v>8374248.8100000005</v>
      </c>
      <c r="V711">
        <v>13038691.114051232</v>
      </c>
      <c r="W711" t="s">
        <v>30</v>
      </c>
      <c r="X711" t="s">
        <v>913</v>
      </c>
      <c r="Y711" t="s">
        <v>919</v>
      </c>
      <c r="Z711" t="b">
        <v>0</v>
      </c>
      <c r="AA711" t="s">
        <v>44</v>
      </c>
      <c r="AB711" t="s">
        <v>36</v>
      </c>
      <c r="AC711" t="s">
        <v>521</v>
      </c>
    </row>
    <row r="712" spans="2:29" x14ac:dyDescent="0.35">
      <c r="B712" t="s">
        <v>920</v>
      </c>
      <c r="C712">
        <v>532.63</v>
      </c>
      <c r="D712" t="s">
        <v>575</v>
      </c>
      <c r="E712" s="10">
        <v>709.16808297999989</v>
      </c>
      <c r="F712" t="s">
        <v>30</v>
      </c>
      <c r="G712" s="14">
        <v>46113</v>
      </c>
      <c r="H712">
        <v>1635</v>
      </c>
      <c r="I712">
        <v>870850.05</v>
      </c>
      <c r="J712">
        <v>311130.33073992003</v>
      </c>
      <c r="K712" t="s">
        <v>911</v>
      </c>
      <c r="L712" s="9" t="s">
        <v>912</v>
      </c>
      <c r="M712" t="s">
        <v>33</v>
      </c>
      <c r="N712" s="12">
        <v>10.138128726175864</v>
      </c>
      <c r="O712" s="13">
        <v>1.4295805140544914E-2</v>
      </c>
      <c r="P712" s="9" t="s">
        <v>920</v>
      </c>
      <c r="Q712">
        <v>448.96</v>
      </c>
      <c r="R712">
        <v>448.96</v>
      </c>
      <c r="S712" t="s">
        <v>39</v>
      </c>
      <c r="T712">
        <v>699.02995425382403</v>
      </c>
      <c r="U712">
        <v>7346781.4399999995</v>
      </c>
      <c r="V712">
        <v>11438926.171409577</v>
      </c>
      <c r="W712" t="s">
        <v>30</v>
      </c>
      <c r="X712" t="s">
        <v>913</v>
      </c>
      <c r="Y712" t="s">
        <v>503</v>
      </c>
      <c r="Z712" t="b">
        <v>0</v>
      </c>
      <c r="AA712" t="s">
        <v>44</v>
      </c>
      <c r="AB712" t="s">
        <v>36</v>
      </c>
      <c r="AC712" t="s">
        <v>921</v>
      </c>
    </row>
    <row r="713" spans="2:29" x14ac:dyDescent="0.35">
      <c r="B713" t="s">
        <v>922</v>
      </c>
      <c r="C713">
        <v>992.23</v>
      </c>
      <c r="D713" t="s">
        <v>39</v>
      </c>
      <c r="E713" s="10">
        <v>1544.900417652512</v>
      </c>
      <c r="F713" t="s">
        <v>30</v>
      </c>
      <c r="G713" s="14">
        <v>46113</v>
      </c>
      <c r="H713">
        <v>11638</v>
      </c>
      <c r="I713">
        <v>11547572.74</v>
      </c>
      <c r="J713">
        <v>1319.86745416288</v>
      </c>
      <c r="K713" t="s">
        <v>474</v>
      </c>
      <c r="L713" s="9" t="s">
        <v>475</v>
      </c>
      <c r="M713" t="s">
        <v>50</v>
      </c>
      <c r="N713" s="12">
        <v>726.94693367241598</v>
      </c>
      <c r="O713" s="13">
        <v>0.47054614353526902</v>
      </c>
      <c r="P713" s="9" t="s">
        <v>922</v>
      </c>
      <c r="Q713">
        <v>525.34</v>
      </c>
      <c r="R713">
        <v>0.52534000000000003</v>
      </c>
      <c r="S713" t="s">
        <v>39</v>
      </c>
      <c r="T713">
        <v>817.95348398009605</v>
      </c>
      <c r="U713">
        <v>2466471.3000000003</v>
      </c>
      <c r="V713">
        <v>3840291.607286551</v>
      </c>
      <c r="W713" t="s">
        <v>352</v>
      </c>
      <c r="X713" t="s">
        <v>476</v>
      </c>
      <c r="Y713" t="s">
        <v>923</v>
      </c>
      <c r="Z713" t="b">
        <v>0</v>
      </c>
      <c r="AA713" t="s">
        <v>44</v>
      </c>
      <c r="AB713" t="s">
        <v>45</v>
      </c>
      <c r="AC713" t="s">
        <v>434</v>
      </c>
    </row>
    <row r="714" spans="2:29" x14ac:dyDescent="0.35">
      <c r="B714" t="s">
        <v>924</v>
      </c>
      <c r="C714">
        <v>50.33</v>
      </c>
      <c r="D714" t="s">
        <v>39</v>
      </c>
      <c r="E714" s="10">
        <v>78.363724157151992</v>
      </c>
      <c r="F714" t="s">
        <v>30</v>
      </c>
      <c r="G714" s="14">
        <v>46113</v>
      </c>
      <c r="H714">
        <v>19900</v>
      </c>
      <c r="I714">
        <v>1001567</v>
      </c>
      <c r="J714">
        <v>5560.6014286883801</v>
      </c>
      <c r="K714" t="s">
        <v>474</v>
      </c>
      <c r="L714" s="9" t="s">
        <v>475</v>
      </c>
      <c r="M714" t="s">
        <v>50</v>
      </c>
      <c r="N714" s="12">
        <v>1326.4535569481918</v>
      </c>
      <c r="O714" s="13">
        <v>16.926882575004967</v>
      </c>
      <c r="P714" s="9" t="s">
        <v>924</v>
      </c>
      <c r="Q714">
        <v>902.26</v>
      </c>
      <c r="R714">
        <v>0.90225999999999995</v>
      </c>
      <c r="S714" t="s">
        <v>39</v>
      </c>
      <c r="T714">
        <v>1404.8172811053439</v>
      </c>
      <c r="U714">
        <v>10144109.18</v>
      </c>
      <c r="V714">
        <v>15794360.691467382</v>
      </c>
      <c r="W714" t="s">
        <v>352</v>
      </c>
      <c r="X714" t="s">
        <v>476</v>
      </c>
      <c r="Y714" t="s">
        <v>925</v>
      </c>
      <c r="Z714" t="b">
        <v>0</v>
      </c>
      <c r="AA714" t="s">
        <v>44</v>
      </c>
      <c r="AB714" t="s">
        <v>45</v>
      </c>
      <c r="AC714" t="s">
        <v>434</v>
      </c>
    </row>
    <row r="715" spans="2:29" x14ac:dyDescent="0.35">
      <c r="B715" t="s">
        <v>924</v>
      </c>
      <c r="C715">
        <v>168.26</v>
      </c>
      <c r="D715" t="s">
        <v>39</v>
      </c>
      <c r="E715" s="10">
        <v>261.98053301574402</v>
      </c>
      <c r="F715" t="s">
        <v>30</v>
      </c>
      <c r="G715" s="14">
        <v>46113</v>
      </c>
      <c r="H715">
        <v>1086</v>
      </c>
      <c r="I715">
        <v>182730.36</v>
      </c>
      <c r="J715">
        <v>320.803928578176</v>
      </c>
      <c r="K715" t="s">
        <v>474</v>
      </c>
      <c r="L715" s="9" t="s">
        <v>475</v>
      </c>
      <c r="M715" t="s">
        <v>50</v>
      </c>
      <c r="N715" s="12">
        <v>391.70963090515198</v>
      </c>
      <c r="O715" s="13">
        <v>1.4951860216331865</v>
      </c>
      <c r="P715" s="9" t="s">
        <v>924</v>
      </c>
      <c r="Q715">
        <v>419.84</v>
      </c>
      <c r="R715">
        <v>0.41983999999999999</v>
      </c>
      <c r="S715" t="s">
        <v>39</v>
      </c>
      <c r="T715">
        <v>653.690163920896</v>
      </c>
      <c r="U715">
        <v>498350.07999999996</v>
      </c>
      <c r="V715">
        <v>775930.2245741036</v>
      </c>
      <c r="W715" t="s">
        <v>352</v>
      </c>
      <c r="X715" t="s">
        <v>476</v>
      </c>
      <c r="Y715" t="s">
        <v>925</v>
      </c>
      <c r="Z715" t="b">
        <v>0</v>
      </c>
      <c r="AA715" t="s">
        <v>44</v>
      </c>
      <c r="AB715" t="s">
        <v>45</v>
      </c>
      <c r="AC715" t="s">
        <v>434</v>
      </c>
    </row>
    <row r="716" spans="2:29" x14ac:dyDescent="0.35">
      <c r="B716" t="s">
        <v>926</v>
      </c>
      <c r="C716">
        <v>192.39</v>
      </c>
      <c r="D716" t="s">
        <v>39</v>
      </c>
      <c r="E716" s="10">
        <v>299.55090185961598</v>
      </c>
      <c r="F716" t="s">
        <v>30</v>
      </c>
      <c r="G716" s="14">
        <v>46113</v>
      </c>
      <c r="H716">
        <v>4497</v>
      </c>
      <c r="I716">
        <v>865177.83</v>
      </c>
      <c r="J716">
        <v>2793.2549401535998</v>
      </c>
      <c r="K716" t="s">
        <v>927</v>
      </c>
      <c r="L716" s="9" t="s">
        <v>928</v>
      </c>
      <c r="M716" t="s">
        <v>50</v>
      </c>
      <c r="N716" s="12">
        <v>263.94235086668806</v>
      </c>
      <c r="O716" s="13">
        <v>0.88112687769634623</v>
      </c>
      <c r="P716" s="9" t="s">
        <v>926</v>
      </c>
      <c r="Q716">
        <v>361.91</v>
      </c>
      <c r="R716">
        <v>361.91</v>
      </c>
      <c r="S716" t="s">
        <v>39</v>
      </c>
      <c r="T716">
        <v>563.49325272630404</v>
      </c>
      <c r="U716">
        <v>6630191.2000000002</v>
      </c>
      <c r="V716">
        <v>10323196.389945891</v>
      </c>
      <c r="W716" t="s">
        <v>30</v>
      </c>
      <c r="X716" t="s">
        <v>929</v>
      </c>
      <c r="Y716" t="s">
        <v>930</v>
      </c>
      <c r="Z716" t="b">
        <v>0</v>
      </c>
      <c r="AA716" t="s">
        <v>44</v>
      </c>
      <c r="AB716" t="s">
        <v>45</v>
      </c>
      <c r="AC716" t="s">
        <v>245</v>
      </c>
    </row>
    <row r="717" spans="2:29" x14ac:dyDescent="0.35">
      <c r="B717" t="s">
        <v>926</v>
      </c>
      <c r="C717">
        <v>145.13999999999999</v>
      </c>
      <c r="D717" t="s">
        <v>39</v>
      </c>
      <c r="E717" s="10">
        <v>225.98273244921597</v>
      </c>
      <c r="F717" t="s">
        <v>30</v>
      </c>
      <c r="G717" s="14">
        <v>46113</v>
      </c>
      <c r="H717">
        <v>13338</v>
      </c>
      <c r="I717">
        <v>1935877.3199999998</v>
      </c>
      <c r="J717">
        <v>5586.5098803071996</v>
      </c>
      <c r="K717" t="s">
        <v>927</v>
      </c>
      <c r="L717" s="9" t="s">
        <v>928</v>
      </c>
      <c r="M717" t="s">
        <v>50</v>
      </c>
      <c r="N717" s="12">
        <v>793.13493116736004</v>
      </c>
      <c r="O717" s="13">
        <v>3.5097147581645314</v>
      </c>
      <c r="P717" s="9" t="s">
        <v>926</v>
      </c>
      <c r="Q717">
        <v>654.54</v>
      </c>
      <c r="R717">
        <v>654.54</v>
      </c>
      <c r="S717" t="s">
        <v>39</v>
      </c>
      <c r="T717">
        <v>1019.117663616576</v>
      </c>
      <c r="U717">
        <v>8789817.6600000001</v>
      </c>
      <c r="V717">
        <v>13685731.104706999</v>
      </c>
      <c r="W717" t="s">
        <v>30</v>
      </c>
      <c r="X717" t="s">
        <v>929</v>
      </c>
      <c r="Y717" t="s">
        <v>930</v>
      </c>
      <c r="Z717" t="b">
        <v>0</v>
      </c>
      <c r="AA717" t="s">
        <v>44</v>
      </c>
      <c r="AB717" t="s">
        <v>45</v>
      </c>
      <c r="AC717" t="s">
        <v>245</v>
      </c>
    </row>
    <row r="718" spans="2:29" x14ac:dyDescent="0.35">
      <c r="B718" t="s">
        <v>931</v>
      </c>
      <c r="C718">
        <v>735.71</v>
      </c>
      <c r="D718" t="s">
        <v>71</v>
      </c>
      <c r="E718" s="10">
        <v>8187.9363646018955</v>
      </c>
      <c r="F718" t="s">
        <v>30</v>
      </c>
      <c r="G718" s="14">
        <v>46113</v>
      </c>
      <c r="H718">
        <v>6649</v>
      </c>
      <c r="I718">
        <v>4891735.79</v>
      </c>
      <c r="J718">
        <v>1000301.36935806</v>
      </c>
      <c r="K718" t="s">
        <v>932</v>
      </c>
      <c r="L718" s="9" t="s">
        <v>933</v>
      </c>
      <c r="M718" t="s">
        <v>33</v>
      </c>
      <c r="N718" s="12">
        <v>7081.9849061066316</v>
      </c>
      <c r="O718" s="13">
        <v>0.86492915806276716</v>
      </c>
      <c r="P718" s="9" t="s">
        <v>931</v>
      </c>
      <c r="Q718">
        <v>710.31</v>
      </c>
      <c r="R718">
        <v>710.31</v>
      </c>
      <c r="S718" t="s">
        <v>39</v>
      </c>
      <c r="T718">
        <v>1105.951458495264</v>
      </c>
      <c r="U718">
        <v>9978434.879999999</v>
      </c>
      <c r="V718">
        <v>15536406.088941468</v>
      </c>
      <c r="W718" t="s">
        <v>30</v>
      </c>
      <c r="X718" t="s">
        <v>934</v>
      </c>
      <c r="Y718" t="s">
        <v>561</v>
      </c>
      <c r="Z718" t="b">
        <v>0</v>
      </c>
      <c r="AA718" t="s">
        <v>35</v>
      </c>
      <c r="AB718" t="s">
        <v>36</v>
      </c>
      <c r="AC718" t="s">
        <v>562</v>
      </c>
    </row>
    <row r="719" spans="2:29" x14ac:dyDescent="0.35">
      <c r="B719" t="s">
        <v>935</v>
      </c>
      <c r="C719">
        <v>216.2</v>
      </c>
      <c r="D719" t="s">
        <v>71</v>
      </c>
      <c r="E719" s="10">
        <v>2406.1543842368997</v>
      </c>
      <c r="F719" t="s">
        <v>30</v>
      </c>
      <c r="G719" s="14">
        <v>46113</v>
      </c>
      <c r="H719">
        <v>4520</v>
      </c>
      <c r="I719">
        <v>977224</v>
      </c>
      <c r="J719">
        <v>103769.581307238</v>
      </c>
      <c r="K719" t="s">
        <v>932</v>
      </c>
      <c r="L719" s="9" t="s">
        <v>933</v>
      </c>
      <c r="M719" t="s">
        <v>33</v>
      </c>
      <c r="N719" s="12">
        <v>1382.5992754812837</v>
      </c>
      <c r="O719" s="13">
        <v>0.57460954481512561</v>
      </c>
      <c r="P719" s="9" t="s">
        <v>935</v>
      </c>
      <c r="Q719">
        <v>657.39</v>
      </c>
      <c r="R719">
        <v>657.39</v>
      </c>
      <c r="S719" t="s">
        <v>39</v>
      </c>
      <c r="T719">
        <v>1023.5551087556159</v>
      </c>
      <c r="U719">
        <v>687629.94</v>
      </c>
      <c r="V719">
        <v>1070638.6437583743</v>
      </c>
      <c r="W719" t="s">
        <v>30</v>
      </c>
      <c r="X719" t="s">
        <v>934</v>
      </c>
      <c r="Y719" t="s">
        <v>561</v>
      </c>
      <c r="Z719" t="b">
        <v>0</v>
      </c>
      <c r="AA719" t="s">
        <v>35</v>
      </c>
      <c r="AB719" t="s">
        <v>36</v>
      </c>
      <c r="AC719" t="s">
        <v>562</v>
      </c>
    </row>
    <row r="720" spans="2:29" x14ac:dyDescent="0.35">
      <c r="B720" t="s">
        <v>936</v>
      </c>
      <c r="C720">
        <v>470.42</v>
      </c>
      <c r="D720" t="s">
        <v>39</v>
      </c>
      <c r="E720" s="10">
        <v>732.44313765164804</v>
      </c>
      <c r="F720" t="s">
        <v>30</v>
      </c>
      <c r="G720" s="14">
        <v>46113</v>
      </c>
      <c r="H720">
        <v>19150</v>
      </c>
      <c r="I720">
        <v>9008543</v>
      </c>
      <c r="J720">
        <v>47970.352341502097</v>
      </c>
      <c r="K720" t="s">
        <v>937</v>
      </c>
      <c r="L720" s="9" t="s">
        <v>938</v>
      </c>
      <c r="M720" t="s">
        <v>33</v>
      </c>
      <c r="N720" s="12">
        <v>601.32831128022406</v>
      </c>
      <c r="O720" s="13">
        <v>0.82098975383699679</v>
      </c>
      <c r="P720" s="9" t="s">
        <v>936</v>
      </c>
      <c r="Q720">
        <v>856.63</v>
      </c>
      <c r="R720">
        <v>856.63</v>
      </c>
      <c r="S720" t="s">
        <v>39</v>
      </c>
      <c r="T720">
        <v>1333.7714489318721</v>
      </c>
      <c r="U720">
        <v>4310562.16</v>
      </c>
      <c r="V720">
        <v>6711537.93102518</v>
      </c>
      <c r="W720" t="s">
        <v>30</v>
      </c>
      <c r="X720" t="s">
        <v>939</v>
      </c>
      <c r="Y720" t="s">
        <v>940</v>
      </c>
      <c r="Z720" t="b">
        <v>0</v>
      </c>
      <c r="AA720" t="s">
        <v>35</v>
      </c>
      <c r="AB720" t="s">
        <v>45</v>
      </c>
      <c r="AC720" t="s">
        <v>562</v>
      </c>
    </row>
    <row r="721" spans="2:29" x14ac:dyDescent="0.35">
      <c r="B721" t="s">
        <v>941</v>
      </c>
      <c r="C721">
        <v>81.27</v>
      </c>
      <c r="D721" t="s">
        <v>29</v>
      </c>
      <c r="E721" s="10">
        <v>755.06026837499996</v>
      </c>
      <c r="F721" t="s">
        <v>30</v>
      </c>
      <c r="G721" s="14">
        <v>46113</v>
      </c>
      <c r="H721">
        <v>12798</v>
      </c>
      <c r="I721">
        <v>1040093.46</v>
      </c>
      <c r="J721">
        <v>6898.3911562499998</v>
      </c>
      <c r="K721" t="s">
        <v>329</v>
      </c>
      <c r="L721" s="9" t="s">
        <v>330</v>
      </c>
      <c r="M721" t="s">
        <v>50</v>
      </c>
      <c r="N721" s="12">
        <v>587.80405059616817</v>
      </c>
      <c r="O721" s="13">
        <v>0.77848626820374001</v>
      </c>
      <c r="P721" s="9" t="s">
        <v>941</v>
      </c>
      <c r="Q721">
        <v>862.47</v>
      </c>
      <c r="R721">
        <v>862.47</v>
      </c>
      <c r="S721" t="s">
        <v>39</v>
      </c>
      <c r="T721">
        <v>1342.8643189711681</v>
      </c>
      <c r="U721">
        <v>14020312.32</v>
      </c>
      <c r="V721">
        <v>21829602.369195309</v>
      </c>
      <c r="W721" t="s">
        <v>30</v>
      </c>
      <c r="X721" t="s">
        <v>331</v>
      </c>
      <c r="Y721" t="s">
        <v>942</v>
      </c>
      <c r="Z721" t="b">
        <v>0</v>
      </c>
      <c r="AA721" t="s">
        <v>44</v>
      </c>
      <c r="AB721" t="s">
        <v>36</v>
      </c>
      <c r="AC721" t="s">
        <v>251</v>
      </c>
    </row>
    <row r="722" spans="2:29" x14ac:dyDescent="0.35">
      <c r="B722" t="s">
        <v>941</v>
      </c>
      <c r="C722">
        <v>270.83</v>
      </c>
      <c r="D722" t="s">
        <v>29</v>
      </c>
      <c r="E722" s="10">
        <v>2516.2172078749995</v>
      </c>
      <c r="F722" t="s">
        <v>30</v>
      </c>
      <c r="G722" s="14">
        <v>46113</v>
      </c>
      <c r="H722">
        <v>13452</v>
      </c>
      <c r="I722">
        <v>3643205.1599999997</v>
      </c>
      <c r="J722">
        <v>6898.3911562499998</v>
      </c>
      <c r="K722" t="s">
        <v>329</v>
      </c>
      <c r="L722" s="9" t="s">
        <v>330</v>
      </c>
      <c r="M722" t="s">
        <v>50</v>
      </c>
      <c r="N722" s="12">
        <v>1523.7397850756074</v>
      </c>
      <c r="O722" s="13">
        <v>0.60556766733283685</v>
      </c>
      <c r="P722" s="9" t="s">
        <v>941</v>
      </c>
      <c r="Q722">
        <v>637.42999999999995</v>
      </c>
      <c r="R722">
        <v>637.42999999999995</v>
      </c>
      <c r="S722" t="s">
        <v>39</v>
      </c>
      <c r="T722">
        <v>992.477422799392</v>
      </c>
      <c r="U722">
        <v>7812342.0799999991</v>
      </c>
      <c r="V722">
        <v>12163803.293829348</v>
      </c>
      <c r="W722" t="s">
        <v>30</v>
      </c>
      <c r="X722" t="s">
        <v>331</v>
      </c>
      <c r="Y722" t="s">
        <v>942</v>
      </c>
      <c r="Z722" t="b">
        <v>0</v>
      </c>
      <c r="AA722" t="s">
        <v>44</v>
      </c>
      <c r="AB722" t="s">
        <v>36</v>
      </c>
      <c r="AC722" t="s">
        <v>251</v>
      </c>
    </row>
    <row r="723" spans="2:29" x14ac:dyDescent="0.35">
      <c r="B723" t="s">
        <v>943</v>
      </c>
      <c r="C723">
        <v>758.3</v>
      </c>
      <c r="D723" t="s">
        <v>29</v>
      </c>
      <c r="E723" s="10">
        <v>7045.1852037499993</v>
      </c>
      <c r="F723" t="s">
        <v>30</v>
      </c>
      <c r="G723" s="14">
        <v>46113</v>
      </c>
      <c r="H723">
        <v>9523</v>
      </c>
      <c r="I723">
        <v>7221290.8999999994</v>
      </c>
      <c r="J723">
        <v>11706.36075</v>
      </c>
      <c r="K723" t="s">
        <v>329</v>
      </c>
      <c r="L723" s="9" t="s">
        <v>330</v>
      </c>
      <c r="M723" t="s">
        <v>50</v>
      </c>
      <c r="N723" s="12">
        <v>6219.0107687754717</v>
      </c>
      <c r="O723" s="13">
        <v>0.88273204875653621</v>
      </c>
      <c r="P723" s="9" t="s">
        <v>943</v>
      </c>
      <c r="Q723">
        <v>530.62</v>
      </c>
      <c r="R723">
        <v>530.62</v>
      </c>
      <c r="S723" t="s">
        <v>39</v>
      </c>
      <c r="T723">
        <v>826.17443497452803</v>
      </c>
      <c r="U723">
        <v>9806388.2200000007</v>
      </c>
      <c r="V723">
        <v>15268529.732764252</v>
      </c>
      <c r="W723" t="s">
        <v>30</v>
      </c>
      <c r="X723" t="s">
        <v>331</v>
      </c>
      <c r="Y723" t="s">
        <v>944</v>
      </c>
      <c r="Z723" t="b">
        <v>0</v>
      </c>
      <c r="AA723" t="s">
        <v>44</v>
      </c>
      <c r="AB723" t="s">
        <v>36</v>
      </c>
      <c r="AC723" t="s">
        <v>187</v>
      </c>
    </row>
    <row r="724" spans="2:29" x14ac:dyDescent="0.35">
      <c r="B724" t="s">
        <v>945</v>
      </c>
      <c r="C724">
        <v>550.70000000000005</v>
      </c>
      <c r="D724" t="s">
        <v>29</v>
      </c>
      <c r="E724" s="10">
        <v>5116.4229087499998</v>
      </c>
      <c r="F724" t="s">
        <v>30</v>
      </c>
      <c r="G724" s="14">
        <v>46113</v>
      </c>
      <c r="H724">
        <v>19314</v>
      </c>
      <c r="I724">
        <v>10636219.800000001</v>
      </c>
      <c r="J724">
        <v>5806.7265625</v>
      </c>
      <c r="K724" t="s">
        <v>329</v>
      </c>
      <c r="L724" s="9" t="s">
        <v>330</v>
      </c>
      <c r="M724" t="s">
        <v>50</v>
      </c>
      <c r="N724" s="12">
        <v>4796.8178688585122</v>
      </c>
      <c r="O724" s="13">
        <v>0.93753349838518907</v>
      </c>
      <c r="P724" s="9" t="s">
        <v>945</v>
      </c>
      <c r="Q724">
        <v>205.27</v>
      </c>
      <c r="R724">
        <v>205.27</v>
      </c>
      <c r="S724" t="s">
        <v>39</v>
      </c>
      <c r="T724">
        <v>319.60503989148805</v>
      </c>
      <c r="U724">
        <v>2545553.27</v>
      </c>
      <c r="V724">
        <v>3963422.0996943433</v>
      </c>
      <c r="W724" t="s">
        <v>30</v>
      </c>
      <c r="X724" t="s">
        <v>331</v>
      </c>
      <c r="Y724" t="s">
        <v>946</v>
      </c>
      <c r="Z724" t="b">
        <v>0</v>
      </c>
      <c r="AA724" t="s">
        <v>44</v>
      </c>
      <c r="AB724" t="s">
        <v>36</v>
      </c>
      <c r="AC724" t="s">
        <v>251</v>
      </c>
    </row>
    <row r="725" spans="2:29" x14ac:dyDescent="0.35">
      <c r="B725" t="s">
        <v>947</v>
      </c>
      <c r="C725">
        <v>729.3</v>
      </c>
      <c r="D725" t="s">
        <v>71</v>
      </c>
      <c r="E725" s="10">
        <v>8116.5975597778497</v>
      </c>
      <c r="F725" t="s">
        <v>30</v>
      </c>
      <c r="G725" s="14">
        <v>46113</v>
      </c>
      <c r="H725">
        <v>3237</v>
      </c>
      <c r="I725">
        <v>2360744.0999999996</v>
      </c>
      <c r="J725">
        <v>1988.9169750553999</v>
      </c>
      <c r="K725" t="s">
        <v>948</v>
      </c>
      <c r="L725" s="9" t="s">
        <v>949</v>
      </c>
      <c r="M725" t="s">
        <v>50</v>
      </c>
      <c r="N725" s="12">
        <v>7382.690843729466</v>
      </c>
      <c r="O725" s="13">
        <v>0.90957951153260452</v>
      </c>
      <c r="P725" s="9" t="s">
        <v>947</v>
      </c>
      <c r="Q725">
        <v>471.36</v>
      </c>
      <c r="R725">
        <v>471.36</v>
      </c>
      <c r="S725" t="s">
        <v>39</v>
      </c>
      <c r="T725">
        <v>733.90671604838406</v>
      </c>
      <c r="U725">
        <v>9010989.120000001</v>
      </c>
      <c r="V725">
        <v>14030094.690696958</v>
      </c>
      <c r="W725" t="s">
        <v>30</v>
      </c>
      <c r="X725" t="s">
        <v>950</v>
      </c>
      <c r="Y725" t="s">
        <v>951</v>
      </c>
      <c r="Z725" t="b">
        <v>0</v>
      </c>
      <c r="AA725" t="s">
        <v>44</v>
      </c>
      <c r="AB725" t="s">
        <v>36</v>
      </c>
      <c r="AC725" t="s">
        <v>251</v>
      </c>
    </row>
    <row r="726" spans="2:29" x14ac:dyDescent="0.35">
      <c r="B726" t="s">
        <v>947</v>
      </c>
      <c r="C726">
        <v>409.87</v>
      </c>
      <c r="D726" t="s">
        <v>71</v>
      </c>
      <c r="E726" s="10">
        <v>4561.5656682108147</v>
      </c>
      <c r="F726" t="s">
        <v>30</v>
      </c>
      <c r="G726" s="14">
        <v>46113</v>
      </c>
      <c r="H726">
        <v>6800</v>
      </c>
      <c r="I726">
        <v>2787116</v>
      </c>
      <c r="J726">
        <v>1988.9169750553999</v>
      </c>
      <c r="K726" t="s">
        <v>948</v>
      </c>
      <c r="L726" s="9" t="s">
        <v>949</v>
      </c>
      <c r="M726" t="s">
        <v>50</v>
      </c>
      <c r="N726" s="12">
        <v>3043.5234711367029</v>
      </c>
      <c r="O726" s="13">
        <v>0.66721027219815643</v>
      </c>
      <c r="P726" s="9" t="s">
        <v>947</v>
      </c>
      <c r="Q726">
        <v>974.98</v>
      </c>
      <c r="R726">
        <v>974.98</v>
      </c>
      <c r="S726" t="s">
        <v>39</v>
      </c>
      <c r="T726">
        <v>1518.042197074112</v>
      </c>
      <c r="U726">
        <v>11476489.58</v>
      </c>
      <c r="V726">
        <v>17868874.701759372</v>
      </c>
      <c r="W726" t="s">
        <v>30</v>
      </c>
      <c r="X726" t="s">
        <v>950</v>
      </c>
      <c r="Y726" t="s">
        <v>951</v>
      </c>
      <c r="Z726" t="b">
        <v>0</v>
      </c>
      <c r="AA726" t="s">
        <v>44</v>
      </c>
      <c r="AB726" t="s">
        <v>36</v>
      </c>
      <c r="AC726" t="s">
        <v>251</v>
      </c>
    </row>
    <row r="727" spans="2:29" x14ac:dyDescent="0.35">
      <c r="B727" t="s">
        <v>947</v>
      </c>
      <c r="C727">
        <v>944.43</v>
      </c>
      <c r="D727" t="s">
        <v>71</v>
      </c>
      <c r="E727" s="10">
        <v>10510.843594379534</v>
      </c>
      <c r="F727" t="s">
        <v>30</v>
      </c>
      <c r="G727" s="14">
        <v>46113</v>
      </c>
      <c r="H727">
        <v>11102</v>
      </c>
      <c r="I727">
        <v>10485061.859999999</v>
      </c>
      <c r="J727">
        <v>951.22116198301501</v>
      </c>
      <c r="K727" t="s">
        <v>948</v>
      </c>
      <c r="L727" s="9" t="s">
        <v>949</v>
      </c>
      <c r="M727" t="s">
        <v>50</v>
      </c>
      <c r="N727" s="12">
        <v>9786.35671801227</v>
      </c>
      <c r="O727" s="13">
        <v>0.93107243297249054</v>
      </c>
      <c r="P727" s="9" t="s">
        <v>947</v>
      </c>
      <c r="Q727">
        <v>465.31</v>
      </c>
      <c r="R727">
        <v>465.31</v>
      </c>
      <c r="S727" t="s">
        <v>39</v>
      </c>
      <c r="T727">
        <v>724.48687636726402</v>
      </c>
      <c r="U727">
        <v>3081748.13</v>
      </c>
      <c r="V727">
        <v>4798276.5821803892</v>
      </c>
      <c r="W727" t="s">
        <v>30</v>
      </c>
      <c r="X727" t="s">
        <v>950</v>
      </c>
      <c r="Y727" t="s">
        <v>951</v>
      </c>
      <c r="Z727" t="b">
        <v>0</v>
      </c>
      <c r="AA727" t="s">
        <v>44</v>
      </c>
      <c r="AB727" t="s">
        <v>36</v>
      </c>
      <c r="AC727" t="s">
        <v>251</v>
      </c>
    </row>
    <row r="728" spans="2:29" x14ac:dyDescent="0.35">
      <c r="B728" t="s">
        <v>952</v>
      </c>
      <c r="C728">
        <v>993.95</v>
      </c>
      <c r="D728" t="s">
        <v>71</v>
      </c>
      <c r="E728" s="10">
        <v>11061.966467216775</v>
      </c>
      <c r="F728" t="s">
        <v>30</v>
      </c>
      <c r="G728" s="14">
        <v>46113</v>
      </c>
      <c r="H728">
        <v>15144</v>
      </c>
      <c r="I728">
        <v>15052378.800000001</v>
      </c>
      <c r="J728">
        <v>51537.556533414601</v>
      </c>
      <c r="K728" t="s">
        <v>948</v>
      </c>
      <c r="L728" s="9" t="s">
        <v>949</v>
      </c>
      <c r="M728" t="s">
        <v>50</v>
      </c>
      <c r="N728" s="12">
        <v>9535.5476193187897</v>
      </c>
      <c r="O728" s="13">
        <v>0.86201198020065628</v>
      </c>
      <c r="P728" s="9" t="s">
        <v>952</v>
      </c>
      <c r="Q728">
        <v>980.36</v>
      </c>
      <c r="R728">
        <v>980.36</v>
      </c>
      <c r="S728" t="s">
        <v>39</v>
      </c>
      <c r="T728">
        <v>1526.4188478979841</v>
      </c>
      <c r="U728">
        <v>16390638.84</v>
      </c>
      <c r="V728">
        <v>25520196.718006395</v>
      </c>
      <c r="W728" t="s">
        <v>30</v>
      </c>
      <c r="X728" t="s">
        <v>950</v>
      </c>
      <c r="Y728" t="s">
        <v>953</v>
      </c>
      <c r="Z728" t="b">
        <v>0</v>
      </c>
      <c r="AA728" t="s">
        <v>44</v>
      </c>
      <c r="AB728" t="s">
        <v>36</v>
      </c>
      <c r="AC728" t="s">
        <v>251</v>
      </c>
    </row>
    <row r="729" spans="2:29" x14ac:dyDescent="0.35">
      <c r="B729" t="s">
        <v>954</v>
      </c>
      <c r="C729">
        <v>668.19</v>
      </c>
      <c r="D729" t="s">
        <v>179</v>
      </c>
      <c r="E729" s="10">
        <v>668.19</v>
      </c>
      <c r="F729" t="s">
        <v>30</v>
      </c>
      <c r="G729" s="14">
        <v>46113</v>
      </c>
      <c r="H729">
        <v>167</v>
      </c>
      <c r="I729">
        <v>111587.73000000001</v>
      </c>
      <c r="J729">
        <v>1607.2</v>
      </c>
      <c r="K729" t="s">
        <v>955</v>
      </c>
      <c r="L729" s="9" t="s">
        <v>956</v>
      </c>
      <c r="M729" t="s">
        <v>50</v>
      </c>
      <c r="N729" s="12">
        <v>1.8797859779839428</v>
      </c>
      <c r="O729" s="13">
        <v>2.8132506891512033E-3</v>
      </c>
      <c r="P729" s="9" t="s">
        <v>954</v>
      </c>
      <c r="Q729">
        <v>430.36</v>
      </c>
      <c r="R729">
        <v>430.36</v>
      </c>
      <c r="S729" t="s">
        <v>39</v>
      </c>
      <c r="T729">
        <v>670.069785977984</v>
      </c>
      <c r="U729">
        <v>6582786.5600000005</v>
      </c>
      <c r="V729">
        <v>10249387.446319243</v>
      </c>
      <c r="W729" t="s">
        <v>30</v>
      </c>
      <c r="X729" t="s">
        <v>957</v>
      </c>
      <c r="Y729" t="s">
        <v>540</v>
      </c>
      <c r="Z729" t="b">
        <v>0</v>
      </c>
      <c r="AA729" t="s">
        <v>44</v>
      </c>
      <c r="AB729" t="s">
        <v>36</v>
      </c>
      <c r="AC729" t="s">
        <v>434</v>
      </c>
    </row>
    <row r="730" spans="2:29" x14ac:dyDescent="0.35">
      <c r="B730" t="s">
        <v>958</v>
      </c>
      <c r="C730">
        <v>85.43</v>
      </c>
      <c r="D730" t="s">
        <v>179</v>
      </c>
      <c r="E730" s="10">
        <v>85.43</v>
      </c>
      <c r="F730" t="s">
        <v>30</v>
      </c>
      <c r="G730" s="14">
        <v>46113</v>
      </c>
      <c r="H730">
        <v>10829</v>
      </c>
      <c r="I730">
        <v>925121.47000000009</v>
      </c>
      <c r="J730">
        <v>60226.879999999997</v>
      </c>
      <c r="K730" t="s">
        <v>955</v>
      </c>
      <c r="L730" s="9" t="s">
        <v>956</v>
      </c>
      <c r="M730" t="s">
        <v>50</v>
      </c>
      <c r="N730" s="12">
        <v>575.65590581929587</v>
      </c>
      <c r="O730" s="13">
        <v>6.7383343769085311</v>
      </c>
      <c r="P730" s="9" t="s">
        <v>958</v>
      </c>
      <c r="Q730">
        <v>424.59</v>
      </c>
      <c r="R730">
        <v>424.59</v>
      </c>
      <c r="S730" t="s">
        <v>39</v>
      </c>
      <c r="T730">
        <v>661.08590581929593</v>
      </c>
      <c r="U730">
        <v>2930520.1799999997</v>
      </c>
      <c r="V730">
        <v>4562814.9219647804</v>
      </c>
      <c r="W730" t="s">
        <v>30</v>
      </c>
      <c r="X730" t="s">
        <v>957</v>
      </c>
      <c r="Y730" t="s">
        <v>959</v>
      </c>
      <c r="Z730" t="b">
        <v>0</v>
      </c>
      <c r="AA730" t="s">
        <v>44</v>
      </c>
      <c r="AB730" t="s">
        <v>36</v>
      </c>
      <c r="AC730" t="s">
        <v>960</v>
      </c>
    </row>
    <row r="731" spans="2:29" x14ac:dyDescent="0.35">
      <c r="B731" t="s">
        <v>961</v>
      </c>
      <c r="C731">
        <v>297.2</v>
      </c>
      <c r="D731" t="s">
        <v>179</v>
      </c>
      <c r="E731" s="10">
        <v>297.2</v>
      </c>
      <c r="F731" t="s">
        <v>30</v>
      </c>
      <c r="G731" s="14">
        <v>46113</v>
      </c>
      <c r="H731">
        <v>11958</v>
      </c>
      <c r="I731">
        <v>3553917.6</v>
      </c>
      <c r="J731">
        <v>59301.599999999999</v>
      </c>
      <c r="K731" t="s">
        <v>955</v>
      </c>
      <c r="L731" s="9" t="s">
        <v>956</v>
      </c>
      <c r="M731" t="s">
        <v>50</v>
      </c>
      <c r="N731" s="12">
        <v>221.85685253398398</v>
      </c>
      <c r="O731" s="13">
        <v>0.74649008255041716</v>
      </c>
      <c r="P731" s="9" t="s">
        <v>961</v>
      </c>
      <c r="Q731">
        <v>48.39</v>
      </c>
      <c r="R731">
        <v>48.39</v>
      </c>
      <c r="S731" t="s">
        <v>39</v>
      </c>
      <c r="T731">
        <v>75.343147466016006</v>
      </c>
      <c r="U731">
        <v>571243.94999999995</v>
      </c>
      <c r="V731">
        <v>889425.85583631892</v>
      </c>
      <c r="W731" t="s">
        <v>30</v>
      </c>
      <c r="X731" t="s">
        <v>957</v>
      </c>
      <c r="Y731" t="s">
        <v>962</v>
      </c>
      <c r="Z731" t="b">
        <v>0</v>
      </c>
      <c r="AA731" t="s">
        <v>44</v>
      </c>
      <c r="AB731" t="s">
        <v>36</v>
      </c>
      <c r="AC731" t="s">
        <v>288</v>
      </c>
    </row>
    <row r="732" spans="2:29" x14ac:dyDescent="0.35">
      <c r="B732" t="s">
        <v>963</v>
      </c>
      <c r="C732">
        <v>855.42</v>
      </c>
      <c r="D732" t="s">
        <v>71</v>
      </c>
      <c r="E732" s="10">
        <v>9520.2247149117902</v>
      </c>
      <c r="F732" t="s">
        <v>30</v>
      </c>
      <c r="G732" s="14">
        <v>46113</v>
      </c>
      <c r="H732">
        <v>10640</v>
      </c>
      <c r="I732">
        <v>9101668.7999999989</v>
      </c>
      <c r="J732">
        <v>46075.29671943</v>
      </c>
      <c r="K732" t="s">
        <v>948</v>
      </c>
      <c r="L732" s="9" t="s">
        <v>949</v>
      </c>
      <c r="M732" t="s">
        <v>50</v>
      </c>
      <c r="N732" s="12">
        <v>8649.9560882398546</v>
      </c>
      <c r="O732" s="13">
        <v>0.9085873860404986</v>
      </c>
      <c r="P732" s="9" t="s">
        <v>963</v>
      </c>
      <c r="Q732">
        <v>558.94000000000005</v>
      </c>
      <c r="R732">
        <v>558.94000000000005</v>
      </c>
      <c r="S732" t="s">
        <v>39</v>
      </c>
      <c r="T732">
        <v>870.26862667193609</v>
      </c>
      <c r="U732">
        <v>6308755.7800000003</v>
      </c>
      <c r="V732">
        <v>9822721.989246143</v>
      </c>
      <c r="W732" t="s">
        <v>30</v>
      </c>
      <c r="X732" t="s">
        <v>950</v>
      </c>
      <c r="Y732" t="s">
        <v>964</v>
      </c>
      <c r="Z732" t="b">
        <v>0</v>
      </c>
      <c r="AA732" t="s">
        <v>44</v>
      </c>
      <c r="AB732" t="s">
        <v>36</v>
      </c>
      <c r="AC732" t="s">
        <v>251</v>
      </c>
    </row>
    <row r="733" spans="2:29" x14ac:dyDescent="0.35">
      <c r="B733" t="s">
        <v>965</v>
      </c>
      <c r="C733">
        <v>796.63</v>
      </c>
      <c r="D733" t="s">
        <v>39</v>
      </c>
      <c r="E733" s="10">
        <v>1240.3515512678721</v>
      </c>
      <c r="F733" t="s">
        <v>30</v>
      </c>
      <c r="G733" s="14">
        <v>46113</v>
      </c>
      <c r="H733">
        <v>4325</v>
      </c>
      <c r="I733">
        <v>3445424.75</v>
      </c>
      <c r="J733">
        <v>7429.3730615590403</v>
      </c>
      <c r="K733" t="s">
        <v>241</v>
      </c>
      <c r="L733" s="9" t="s">
        <v>242</v>
      </c>
      <c r="M733" t="s">
        <v>50</v>
      </c>
      <c r="N733" s="12">
        <v>1.0276188743039256</v>
      </c>
      <c r="O733" s="13">
        <v>8.2849001418469322E-4</v>
      </c>
      <c r="P733" s="9" t="s">
        <v>965</v>
      </c>
      <c r="Q733">
        <v>797.29</v>
      </c>
      <c r="R733">
        <v>797.29</v>
      </c>
      <c r="S733" t="s">
        <v>39</v>
      </c>
      <c r="T733">
        <v>1241.379170142176</v>
      </c>
      <c r="U733">
        <v>5087507.49</v>
      </c>
      <c r="V733">
        <v>7921240.4846772254</v>
      </c>
      <c r="W733" t="s">
        <v>30</v>
      </c>
      <c r="X733" t="s">
        <v>966</v>
      </c>
      <c r="Y733" t="s">
        <v>967</v>
      </c>
      <c r="Z733" t="b">
        <v>0</v>
      </c>
      <c r="AA733" t="s">
        <v>44</v>
      </c>
      <c r="AB733" t="s">
        <v>45</v>
      </c>
      <c r="AC733" t="s">
        <v>968</v>
      </c>
    </row>
    <row r="734" spans="2:29" x14ac:dyDescent="0.35">
      <c r="B734" t="s">
        <v>969</v>
      </c>
      <c r="C734">
        <v>961.85</v>
      </c>
      <c r="D734" t="s">
        <v>39</v>
      </c>
      <c r="E734" s="10">
        <v>1497.5988094686402</v>
      </c>
      <c r="F734" t="s">
        <v>30</v>
      </c>
      <c r="G734" s="14">
        <v>46113</v>
      </c>
      <c r="H734">
        <v>6136</v>
      </c>
      <c r="I734">
        <v>5901911.6000000006</v>
      </c>
      <c r="J734">
        <v>14423.2537001744</v>
      </c>
      <c r="K734" t="s">
        <v>241</v>
      </c>
      <c r="L734" s="9" t="s">
        <v>242</v>
      </c>
      <c r="M734" t="s">
        <v>50</v>
      </c>
      <c r="N734" s="12">
        <v>1227.5685952708482</v>
      </c>
      <c r="O734" s="13">
        <v>0.81969122004470552</v>
      </c>
      <c r="P734" s="9" t="s">
        <v>969</v>
      </c>
      <c r="Q734">
        <v>173.43</v>
      </c>
      <c r="R734">
        <v>173.43</v>
      </c>
      <c r="S734" t="s">
        <v>39</v>
      </c>
      <c r="T734">
        <v>270.03021419779202</v>
      </c>
      <c r="U734">
        <v>1596596.58</v>
      </c>
      <c r="V734">
        <v>2485898.1519048735</v>
      </c>
      <c r="W734" t="s">
        <v>30</v>
      </c>
      <c r="X734" t="s">
        <v>966</v>
      </c>
      <c r="Y734" t="s">
        <v>970</v>
      </c>
      <c r="Z734" t="b">
        <v>0</v>
      </c>
      <c r="AA734" t="s">
        <v>44</v>
      </c>
      <c r="AB734" t="s">
        <v>45</v>
      </c>
      <c r="AC734" t="s">
        <v>245</v>
      </c>
    </row>
    <row r="735" spans="2:29" x14ac:dyDescent="0.35">
      <c r="B735" t="s">
        <v>971</v>
      </c>
      <c r="C735">
        <v>436.52</v>
      </c>
      <c r="D735" t="s">
        <v>39</v>
      </c>
      <c r="E735" s="10">
        <v>679.66089547148795</v>
      </c>
      <c r="F735" t="s">
        <v>30</v>
      </c>
      <c r="G735" s="14">
        <v>46113</v>
      </c>
      <c r="H735">
        <v>4207</v>
      </c>
      <c r="I735">
        <v>1836439.64</v>
      </c>
      <c r="J735">
        <v>6160.8709811284198</v>
      </c>
      <c r="K735" t="s">
        <v>241</v>
      </c>
      <c r="L735" s="9" t="s">
        <v>242</v>
      </c>
      <c r="M735" t="s">
        <v>50</v>
      </c>
      <c r="N735" s="12">
        <v>42.724033198335974</v>
      </c>
      <c r="O735" s="13">
        <v>6.2860808210391236E-2</v>
      </c>
      <c r="P735" s="9" t="s">
        <v>971</v>
      </c>
      <c r="Q735">
        <v>409.08</v>
      </c>
      <c r="R735">
        <v>409.08</v>
      </c>
      <c r="S735" t="s">
        <v>39</v>
      </c>
      <c r="T735">
        <v>636.93686227315197</v>
      </c>
      <c r="U735">
        <v>6607460.1600000001</v>
      </c>
      <c r="V735">
        <v>10287804.199435951</v>
      </c>
      <c r="W735" t="s">
        <v>30</v>
      </c>
      <c r="X735" t="s">
        <v>966</v>
      </c>
      <c r="Y735" t="s">
        <v>972</v>
      </c>
      <c r="Z735" t="b">
        <v>0</v>
      </c>
      <c r="AA735" t="s">
        <v>44</v>
      </c>
      <c r="AB735" t="s">
        <v>45</v>
      </c>
      <c r="AC735" t="s">
        <v>968</v>
      </c>
    </row>
    <row r="736" spans="2:29" x14ac:dyDescent="0.35">
      <c r="B736" t="s">
        <v>973</v>
      </c>
      <c r="C736">
        <v>322.05</v>
      </c>
      <c r="D736" t="s">
        <v>39</v>
      </c>
      <c r="E736" s="10">
        <v>501.43130071152001</v>
      </c>
      <c r="F736" t="s">
        <v>30</v>
      </c>
      <c r="G736" s="14">
        <v>46113</v>
      </c>
      <c r="H736">
        <v>13235</v>
      </c>
      <c r="I736">
        <v>4262331.75</v>
      </c>
      <c r="J736">
        <v>58539.399073533401</v>
      </c>
      <c r="K736" t="s">
        <v>241</v>
      </c>
      <c r="L736" s="9" t="s">
        <v>242</v>
      </c>
      <c r="M736" t="s">
        <v>50</v>
      </c>
      <c r="N736" s="12">
        <v>933.04679790214391</v>
      </c>
      <c r="O736" s="13">
        <v>1.8607669616519171</v>
      </c>
      <c r="P736" s="9" t="s">
        <v>973</v>
      </c>
      <c r="Q736">
        <v>921.31</v>
      </c>
      <c r="R736">
        <v>921.31</v>
      </c>
      <c r="S736" t="s">
        <v>39</v>
      </c>
      <c r="T736">
        <v>1434.4780986136639</v>
      </c>
      <c r="U736">
        <v>8177547.5599999996</v>
      </c>
      <c r="V736">
        <v>12732427.603294881</v>
      </c>
      <c r="W736" t="s">
        <v>30</v>
      </c>
      <c r="X736" t="s">
        <v>966</v>
      </c>
      <c r="Y736" t="s">
        <v>974</v>
      </c>
      <c r="Z736" t="b">
        <v>0</v>
      </c>
      <c r="AA736" t="s">
        <v>44</v>
      </c>
      <c r="AB736" t="s">
        <v>45</v>
      </c>
      <c r="AC736" t="s">
        <v>968</v>
      </c>
    </row>
    <row r="737" spans="2:29" x14ac:dyDescent="0.35">
      <c r="B737" t="s">
        <v>975</v>
      </c>
      <c r="C737">
        <v>835.01</v>
      </c>
      <c r="D737" t="s">
        <v>39</v>
      </c>
      <c r="E737" s="10">
        <v>1300.1091458069441</v>
      </c>
      <c r="F737" t="s">
        <v>30</v>
      </c>
      <c r="G737" s="14">
        <v>46113</v>
      </c>
      <c r="H737">
        <v>6278</v>
      </c>
      <c r="I737">
        <v>5242192.78</v>
      </c>
      <c r="J737">
        <v>11498.432404144</v>
      </c>
      <c r="K737" t="s">
        <v>241</v>
      </c>
      <c r="L737" s="9" t="s">
        <v>242</v>
      </c>
      <c r="M737" t="s">
        <v>50</v>
      </c>
      <c r="N737" s="12">
        <v>1158.5312908971521</v>
      </c>
      <c r="O737" s="13">
        <v>0.89110310056166997</v>
      </c>
      <c r="P737" s="9" t="s">
        <v>975</v>
      </c>
      <c r="Q737">
        <v>90.93</v>
      </c>
      <c r="R737">
        <v>90.93</v>
      </c>
      <c r="S737" t="s">
        <v>39</v>
      </c>
      <c r="T737">
        <v>141.57785490979202</v>
      </c>
      <c r="U737">
        <v>1418235.2100000002</v>
      </c>
      <c r="V737">
        <v>2208189.8030280261</v>
      </c>
      <c r="W737" t="s">
        <v>30</v>
      </c>
      <c r="X737" t="s">
        <v>966</v>
      </c>
      <c r="Y737" t="s">
        <v>976</v>
      </c>
      <c r="Z737" t="b">
        <v>0</v>
      </c>
      <c r="AA737" t="s">
        <v>44</v>
      </c>
      <c r="AB737" t="s">
        <v>45</v>
      </c>
      <c r="AC737" t="s">
        <v>245</v>
      </c>
    </row>
    <row r="738" spans="2:29" x14ac:dyDescent="0.35">
      <c r="B738" t="s">
        <v>977</v>
      </c>
      <c r="C738">
        <v>760.62</v>
      </c>
      <c r="D738" t="s">
        <v>39</v>
      </c>
      <c r="E738" s="10">
        <v>1184.284042686528</v>
      </c>
      <c r="F738" t="s">
        <v>30</v>
      </c>
      <c r="G738" s="14">
        <v>46113</v>
      </c>
      <c r="H738">
        <v>11669</v>
      </c>
      <c r="I738">
        <v>8875674.7799999993</v>
      </c>
      <c r="J738">
        <v>9999.5879960398397</v>
      </c>
      <c r="K738" t="s">
        <v>241</v>
      </c>
      <c r="L738" s="9" t="s">
        <v>242</v>
      </c>
      <c r="M738" t="s">
        <v>50</v>
      </c>
      <c r="N738" s="12">
        <v>963.96878402892798</v>
      </c>
      <c r="O738" s="13">
        <v>0.81396755278588517</v>
      </c>
      <c r="P738" s="9" t="s">
        <v>977</v>
      </c>
      <c r="Q738">
        <v>141.5</v>
      </c>
      <c r="R738">
        <v>141.5</v>
      </c>
      <c r="S738" t="s">
        <v>39</v>
      </c>
      <c r="T738">
        <v>220.3152586576</v>
      </c>
      <c r="U738">
        <v>1541784</v>
      </c>
      <c r="V738">
        <v>2400555.0583332097</v>
      </c>
      <c r="W738" t="s">
        <v>30</v>
      </c>
      <c r="X738" t="s">
        <v>966</v>
      </c>
      <c r="Y738" t="s">
        <v>978</v>
      </c>
      <c r="Z738" t="b">
        <v>0</v>
      </c>
      <c r="AA738" t="s">
        <v>44</v>
      </c>
      <c r="AB738" t="s">
        <v>45</v>
      </c>
      <c r="AC738" t="s">
        <v>968</v>
      </c>
    </row>
    <row r="739" spans="2:29" x14ac:dyDescent="0.35">
      <c r="B739" t="s">
        <v>979</v>
      </c>
      <c r="C739">
        <v>900.06</v>
      </c>
      <c r="D739" t="s">
        <v>39</v>
      </c>
      <c r="E739" s="10">
        <v>1401.3918848576639</v>
      </c>
      <c r="F739" t="s">
        <v>30</v>
      </c>
      <c r="G739" s="14">
        <v>46113</v>
      </c>
      <c r="H739">
        <v>19844</v>
      </c>
      <c r="I739">
        <v>17860790.640000001</v>
      </c>
      <c r="J739">
        <v>12629.5916650256</v>
      </c>
      <c r="K739" t="s">
        <v>241</v>
      </c>
      <c r="L739" s="9" t="s">
        <v>242</v>
      </c>
      <c r="M739" t="s">
        <v>50</v>
      </c>
      <c r="N739" s="12">
        <v>1007.3934664597439</v>
      </c>
      <c r="O739" s="13">
        <v>0.71885207652823147</v>
      </c>
      <c r="P739" s="9" t="s">
        <v>979</v>
      </c>
      <c r="Q739">
        <v>253.05</v>
      </c>
      <c r="R739">
        <v>253.05</v>
      </c>
      <c r="S739" t="s">
        <v>39</v>
      </c>
      <c r="T739">
        <v>393.99841839792003</v>
      </c>
      <c r="U739">
        <v>1507165.8</v>
      </c>
      <c r="V739">
        <v>2346654.5799780115</v>
      </c>
      <c r="W739" t="s">
        <v>30</v>
      </c>
      <c r="X739" t="s">
        <v>966</v>
      </c>
      <c r="Y739" t="s">
        <v>978</v>
      </c>
      <c r="Z739" t="b">
        <v>0</v>
      </c>
      <c r="AA739" t="s">
        <v>44</v>
      </c>
      <c r="AB739" t="s">
        <v>45</v>
      </c>
      <c r="AC739" t="s">
        <v>968</v>
      </c>
    </row>
    <row r="740" spans="2:29" x14ac:dyDescent="0.35">
      <c r="B740" t="s">
        <v>980</v>
      </c>
      <c r="C740">
        <v>645.41</v>
      </c>
      <c r="D740" t="s">
        <v>39</v>
      </c>
      <c r="E740" s="10">
        <v>1004.9022691887039</v>
      </c>
      <c r="F740" t="s">
        <v>30</v>
      </c>
      <c r="G740" s="14">
        <v>46113</v>
      </c>
      <c r="H740">
        <v>10759</v>
      </c>
      <c r="I740">
        <v>6943966.1899999995</v>
      </c>
      <c r="J740">
        <v>12151.5931886448</v>
      </c>
      <c r="K740" t="s">
        <v>241</v>
      </c>
      <c r="L740" s="9" t="s">
        <v>242</v>
      </c>
      <c r="M740" t="s">
        <v>50</v>
      </c>
      <c r="N740" s="12">
        <v>365.33407979801609</v>
      </c>
      <c r="O740" s="13">
        <v>0.36355185076153157</v>
      </c>
      <c r="P740" s="9" t="s">
        <v>980</v>
      </c>
      <c r="Q740">
        <v>880.05</v>
      </c>
      <c r="R740">
        <v>880.05</v>
      </c>
      <c r="S740" t="s">
        <v>39</v>
      </c>
      <c r="T740">
        <v>1370.23634898672</v>
      </c>
      <c r="U740">
        <v>7952131.7999999998</v>
      </c>
      <c r="V740">
        <v>12381455.649444003</v>
      </c>
      <c r="W740" t="s">
        <v>30</v>
      </c>
      <c r="X740" t="s">
        <v>966</v>
      </c>
      <c r="Y740" t="s">
        <v>981</v>
      </c>
      <c r="Z740" t="b">
        <v>0</v>
      </c>
      <c r="AA740" t="s">
        <v>44</v>
      </c>
      <c r="AB740" t="s">
        <v>45</v>
      </c>
      <c r="AC740" t="s">
        <v>968</v>
      </c>
    </row>
    <row r="741" spans="2:29" x14ac:dyDescent="0.35">
      <c r="B741" t="s">
        <v>982</v>
      </c>
      <c r="C741">
        <v>841.93</v>
      </c>
      <c r="D741" t="s">
        <v>39</v>
      </c>
      <c r="E741" s="10">
        <v>1310.883574004192</v>
      </c>
      <c r="F741" t="s">
        <v>30</v>
      </c>
      <c r="G741" s="14">
        <v>46113</v>
      </c>
      <c r="H741">
        <v>9996</v>
      </c>
      <c r="I741">
        <v>8415932.2799999993</v>
      </c>
      <c r="J741">
        <v>2434.17999349907</v>
      </c>
      <c r="K741" t="s">
        <v>241</v>
      </c>
      <c r="L741" s="9" t="s">
        <v>242</v>
      </c>
      <c r="M741" t="s">
        <v>50</v>
      </c>
      <c r="N741" s="12">
        <v>941.93725816316805</v>
      </c>
      <c r="O741" s="13">
        <v>0.71855142351501911</v>
      </c>
      <c r="P741" s="9" t="s">
        <v>982</v>
      </c>
      <c r="Q741">
        <v>236.96</v>
      </c>
      <c r="R741">
        <v>236.96</v>
      </c>
      <c r="S741" t="s">
        <v>39</v>
      </c>
      <c r="T741">
        <v>368.94631584102405</v>
      </c>
      <c r="U741">
        <v>3960786.4</v>
      </c>
      <c r="V741">
        <v>6166937.6692827167</v>
      </c>
      <c r="W741" t="s">
        <v>30</v>
      </c>
      <c r="X741" t="s">
        <v>966</v>
      </c>
      <c r="Y741" t="s">
        <v>983</v>
      </c>
      <c r="Z741" t="b">
        <v>0</v>
      </c>
      <c r="AB741" t="s">
        <v>45</v>
      </c>
      <c r="AC741" t="s">
        <v>968</v>
      </c>
    </row>
    <row r="742" spans="2:29" x14ac:dyDescent="0.35">
      <c r="B742" t="s">
        <v>984</v>
      </c>
      <c r="C742">
        <v>912.87</v>
      </c>
      <c r="D742" t="s">
        <v>39</v>
      </c>
      <c r="E742" s="10">
        <v>1421.3370330089281</v>
      </c>
      <c r="F742" t="s">
        <v>30</v>
      </c>
      <c r="G742" s="14">
        <v>46113</v>
      </c>
      <c r="H742">
        <v>8709</v>
      </c>
      <c r="I742">
        <v>7950184.8300000001</v>
      </c>
      <c r="J742">
        <v>11578.275276680801</v>
      </c>
      <c r="K742" t="s">
        <v>985</v>
      </c>
      <c r="L742" s="9" t="s">
        <v>986</v>
      </c>
      <c r="M742" t="s">
        <v>50</v>
      </c>
      <c r="N742" s="12">
        <v>529.62853982310401</v>
      </c>
      <c r="O742" s="13">
        <v>0.37262698960421525</v>
      </c>
      <c r="P742" s="9" t="s">
        <v>984</v>
      </c>
      <c r="Q742">
        <v>572.71</v>
      </c>
      <c r="R742">
        <v>5.7271000000000001</v>
      </c>
      <c r="S742" t="s">
        <v>39</v>
      </c>
      <c r="T742">
        <v>891.70849318582407</v>
      </c>
      <c r="U742">
        <v>7317515.6700000009</v>
      </c>
      <c r="V742">
        <v>11393359.417435274</v>
      </c>
      <c r="W742" t="s">
        <v>249</v>
      </c>
      <c r="X742" t="s">
        <v>987</v>
      </c>
      <c r="Y742" t="s">
        <v>988</v>
      </c>
      <c r="Z742" t="b">
        <v>0</v>
      </c>
      <c r="AA742" t="s">
        <v>44</v>
      </c>
      <c r="AB742" t="s">
        <v>45</v>
      </c>
      <c r="AC742" t="s">
        <v>251</v>
      </c>
    </row>
    <row r="743" spans="2:29" x14ac:dyDescent="0.35">
      <c r="B743" t="s">
        <v>989</v>
      </c>
      <c r="C743">
        <v>392.28</v>
      </c>
      <c r="D743" t="s">
        <v>39</v>
      </c>
      <c r="E743" s="10">
        <v>610.77929092723195</v>
      </c>
      <c r="F743" t="s">
        <v>30</v>
      </c>
      <c r="G743" s="14">
        <v>46113</v>
      </c>
      <c r="H743">
        <v>242</v>
      </c>
      <c r="I743">
        <v>94931.76</v>
      </c>
      <c r="J743">
        <v>8196.0390217216009</v>
      </c>
      <c r="K743" t="s">
        <v>985</v>
      </c>
      <c r="L743" s="9" t="s">
        <v>986</v>
      </c>
      <c r="M743" t="s">
        <v>50</v>
      </c>
      <c r="N743" s="12">
        <v>156.8987181266881</v>
      </c>
      <c r="O743" s="13">
        <v>0.25688283878862056</v>
      </c>
      <c r="P743" s="9" t="s">
        <v>989</v>
      </c>
      <c r="Q743">
        <v>493.05</v>
      </c>
      <c r="R743">
        <v>4.9305000000000003</v>
      </c>
      <c r="S743" t="s">
        <v>39</v>
      </c>
      <c r="T743">
        <v>767.67800905392005</v>
      </c>
      <c r="U743">
        <v>8728464.1500000004</v>
      </c>
      <c r="V743">
        <v>13590203.794281546</v>
      </c>
      <c r="W743" t="s">
        <v>249</v>
      </c>
      <c r="X743" t="s">
        <v>987</v>
      </c>
      <c r="Y743" t="s">
        <v>990</v>
      </c>
      <c r="Z743" t="b">
        <v>0</v>
      </c>
      <c r="AA743" t="s">
        <v>44</v>
      </c>
      <c r="AB743" t="s">
        <v>45</v>
      </c>
      <c r="AC743" t="s">
        <v>251</v>
      </c>
    </row>
    <row r="744" spans="2:29" x14ac:dyDescent="0.35">
      <c r="B744" t="s">
        <v>991</v>
      </c>
      <c r="C744">
        <v>773</v>
      </c>
      <c r="D744" t="s">
        <v>39</v>
      </c>
      <c r="E744" s="10">
        <v>1203.5596815711999</v>
      </c>
      <c r="F744" t="s">
        <v>30</v>
      </c>
      <c r="G744" s="14">
        <v>46113</v>
      </c>
      <c r="H744">
        <v>15809</v>
      </c>
      <c r="I744">
        <v>12220357</v>
      </c>
      <c r="J744">
        <v>8217.8369978432002</v>
      </c>
      <c r="K744" t="s">
        <v>985</v>
      </c>
      <c r="L744" s="9" t="s">
        <v>986</v>
      </c>
      <c r="M744" t="s">
        <v>50</v>
      </c>
      <c r="N744" s="12">
        <v>304.688996231136</v>
      </c>
      <c r="O744" s="13">
        <v>0.25315653298835705</v>
      </c>
      <c r="P744" s="9" t="s">
        <v>991</v>
      </c>
      <c r="Q744">
        <v>577.30999999999995</v>
      </c>
      <c r="R744">
        <v>5.7730999999999995</v>
      </c>
      <c r="S744" t="s">
        <v>39</v>
      </c>
      <c r="T744">
        <v>898.87068534006391</v>
      </c>
      <c r="U744">
        <v>1829495.39</v>
      </c>
      <c r="V744">
        <v>2848521.2018426624</v>
      </c>
      <c r="W744" t="s">
        <v>249</v>
      </c>
      <c r="X744" t="s">
        <v>987</v>
      </c>
      <c r="Y744" t="s">
        <v>992</v>
      </c>
      <c r="Z744" t="b">
        <v>0</v>
      </c>
      <c r="AA744" t="s">
        <v>44</v>
      </c>
      <c r="AB744" t="s">
        <v>45</v>
      </c>
      <c r="AC744" t="s">
        <v>251</v>
      </c>
    </row>
    <row r="745" spans="2:29" x14ac:dyDescent="0.35">
      <c r="B745" t="s">
        <v>993</v>
      </c>
      <c r="C745">
        <v>109.04</v>
      </c>
      <c r="D745" t="s">
        <v>39</v>
      </c>
      <c r="E745" s="10">
        <v>169.77509402137602</v>
      </c>
      <c r="F745" t="s">
        <v>30</v>
      </c>
      <c r="G745" s="14">
        <v>46113</v>
      </c>
      <c r="H745">
        <v>3030</v>
      </c>
      <c r="I745">
        <v>330391.2</v>
      </c>
      <c r="J745">
        <v>7137.9808307620797</v>
      </c>
      <c r="K745" t="s">
        <v>985</v>
      </c>
      <c r="L745" s="9" t="s">
        <v>986</v>
      </c>
      <c r="M745" t="s">
        <v>50</v>
      </c>
      <c r="N745" s="12">
        <v>349.732956888128</v>
      </c>
      <c r="O745" s="13">
        <v>2.05997798972854</v>
      </c>
      <c r="P745" s="9" t="s">
        <v>993</v>
      </c>
      <c r="Q745">
        <v>333.66</v>
      </c>
      <c r="R745">
        <v>3.3366000000000002</v>
      </c>
      <c r="S745" t="s">
        <v>39</v>
      </c>
      <c r="T745">
        <v>519.50805090950405</v>
      </c>
      <c r="U745">
        <v>4579483.5</v>
      </c>
      <c r="V745">
        <v>7130247.9987329431</v>
      </c>
      <c r="W745" t="s">
        <v>249</v>
      </c>
      <c r="X745" t="s">
        <v>987</v>
      </c>
      <c r="Y745" t="s">
        <v>994</v>
      </c>
      <c r="Z745" t="b">
        <v>0</v>
      </c>
      <c r="AA745" t="s">
        <v>44</v>
      </c>
      <c r="AB745" t="s">
        <v>45</v>
      </c>
      <c r="AC745" t="s">
        <v>251</v>
      </c>
    </row>
    <row r="746" spans="2:29" x14ac:dyDescent="0.35">
      <c r="B746" t="s">
        <v>995</v>
      </c>
      <c r="C746">
        <v>441.14</v>
      </c>
      <c r="D746" t="s">
        <v>39</v>
      </c>
      <c r="E746" s="10">
        <v>686.854227591616</v>
      </c>
      <c r="F746" t="s">
        <v>30</v>
      </c>
      <c r="G746" s="14">
        <v>46113</v>
      </c>
      <c r="H746">
        <v>18422</v>
      </c>
      <c r="I746">
        <v>8126681.0800000001</v>
      </c>
      <c r="J746">
        <v>22028.411869171199</v>
      </c>
      <c r="K746" t="s">
        <v>985</v>
      </c>
      <c r="L746" s="9" t="s">
        <v>986</v>
      </c>
      <c r="M746" t="s">
        <v>50</v>
      </c>
      <c r="N746" s="12">
        <v>56.814867762656036</v>
      </c>
      <c r="O746" s="13">
        <v>8.2717504647050868E-2</v>
      </c>
      <c r="P746" s="9" t="s">
        <v>995</v>
      </c>
      <c r="Q746">
        <v>477.63</v>
      </c>
      <c r="R746">
        <v>4.7763</v>
      </c>
      <c r="S746" t="s">
        <v>39</v>
      </c>
      <c r="T746">
        <v>743.66909535427203</v>
      </c>
      <c r="U746">
        <v>3623301.18</v>
      </c>
      <c r="V746">
        <v>5641473.7573575079</v>
      </c>
      <c r="W746" t="s">
        <v>249</v>
      </c>
      <c r="X746" t="s">
        <v>987</v>
      </c>
      <c r="Y746" t="s">
        <v>996</v>
      </c>
      <c r="Z746" t="b">
        <v>0</v>
      </c>
      <c r="AA746" t="s">
        <v>44</v>
      </c>
      <c r="AB746" t="s">
        <v>45</v>
      </c>
      <c r="AC746" t="s">
        <v>251</v>
      </c>
    </row>
    <row r="747" spans="2:29" x14ac:dyDescent="0.35">
      <c r="B747" t="s">
        <v>997</v>
      </c>
      <c r="C747">
        <v>166.36</v>
      </c>
      <c r="D747" t="s">
        <v>39</v>
      </c>
      <c r="E747" s="10">
        <v>259.02223625638402</v>
      </c>
      <c r="F747" t="s">
        <v>30</v>
      </c>
      <c r="G747" s="14">
        <v>46113</v>
      </c>
      <c r="H747">
        <v>13594</v>
      </c>
      <c r="I747">
        <v>2261497.8400000003</v>
      </c>
      <c r="J747">
        <v>4727.0468217983998</v>
      </c>
      <c r="K747" t="s">
        <v>985</v>
      </c>
      <c r="L747" s="9" t="s">
        <v>986</v>
      </c>
      <c r="M747" t="s">
        <v>50</v>
      </c>
      <c r="N747" s="12">
        <v>150.54616508553602</v>
      </c>
      <c r="O747" s="13">
        <v>0.58120942534263043</v>
      </c>
      <c r="P747" s="9" t="s">
        <v>997</v>
      </c>
      <c r="Q747">
        <v>263.05</v>
      </c>
      <c r="R747">
        <v>2.6305000000000001</v>
      </c>
      <c r="S747" t="s">
        <v>39</v>
      </c>
      <c r="T747">
        <v>409.56840134192004</v>
      </c>
      <c r="U747">
        <v>1328665.55</v>
      </c>
      <c r="V747">
        <v>2068729.995178038</v>
      </c>
      <c r="W747" t="s">
        <v>249</v>
      </c>
      <c r="X747" t="s">
        <v>987</v>
      </c>
      <c r="Y747" t="s">
        <v>998</v>
      </c>
      <c r="Z747" t="b">
        <v>0</v>
      </c>
      <c r="AA747" t="s">
        <v>44</v>
      </c>
      <c r="AB747" t="s">
        <v>45</v>
      </c>
      <c r="AC747" t="s">
        <v>251</v>
      </c>
    </row>
    <row r="748" spans="2:29" x14ac:dyDescent="0.35">
      <c r="B748" t="s">
        <v>999</v>
      </c>
      <c r="C748">
        <v>33.82</v>
      </c>
      <c r="D748" t="s">
        <v>39</v>
      </c>
      <c r="E748" s="10">
        <v>52.657682316608003</v>
      </c>
      <c r="F748" t="s">
        <v>30</v>
      </c>
      <c r="G748" s="14">
        <v>46113</v>
      </c>
      <c r="H748">
        <v>6648</v>
      </c>
      <c r="I748">
        <v>224835.36000000002</v>
      </c>
      <c r="J748">
        <v>4780.60756312576</v>
      </c>
      <c r="K748" t="s">
        <v>985</v>
      </c>
      <c r="L748" s="9" t="s">
        <v>986</v>
      </c>
      <c r="M748" t="s">
        <v>50</v>
      </c>
      <c r="N748" s="12">
        <v>847.00707215360012</v>
      </c>
      <c r="O748" s="13">
        <v>16.085156712004732</v>
      </c>
      <c r="P748" s="9" t="s">
        <v>999</v>
      </c>
      <c r="Q748">
        <v>577.82000000000005</v>
      </c>
      <c r="R748">
        <v>5.7782000000000009</v>
      </c>
      <c r="S748" t="s">
        <v>39</v>
      </c>
      <c r="T748">
        <v>899.66475447020809</v>
      </c>
      <c r="U748">
        <v>5552850.2000000002</v>
      </c>
      <c r="V748">
        <v>8645778.2904586997</v>
      </c>
      <c r="W748" t="s">
        <v>249</v>
      </c>
      <c r="X748" t="s">
        <v>987</v>
      </c>
      <c r="Y748" t="s">
        <v>1000</v>
      </c>
      <c r="Z748" t="b">
        <v>0</v>
      </c>
      <c r="AA748" t="s">
        <v>44</v>
      </c>
      <c r="AB748" t="s">
        <v>45</v>
      </c>
      <c r="AC748" t="s">
        <v>251</v>
      </c>
    </row>
    <row r="749" spans="2:29" x14ac:dyDescent="0.35">
      <c r="B749" t="s">
        <v>1001</v>
      </c>
      <c r="C749">
        <v>649.16</v>
      </c>
      <c r="D749" t="s">
        <v>39</v>
      </c>
      <c r="E749" s="10">
        <v>1010.7410127927039</v>
      </c>
      <c r="F749" t="s">
        <v>30</v>
      </c>
      <c r="G749" s="14">
        <v>46113</v>
      </c>
      <c r="H749">
        <v>18082</v>
      </c>
      <c r="I749">
        <v>11738111.119999999</v>
      </c>
      <c r="J749">
        <v>12294.270284350399</v>
      </c>
      <c r="K749" t="s">
        <v>985</v>
      </c>
      <c r="L749" s="9" t="s">
        <v>986</v>
      </c>
      <c r="M749" t="s">
        <v>50</v>
      </c>
      <c r="N749" s="12">
        <v>311.72662852182407</v>
      </c>
      <c r="O749" s="13">
        <v>0.3084139503358187</v>
      </c>
      <c r="P749" s="9" t="s">
        <v>1001</v>
      </c>
      <c r="Q749">
        <v>849.37</v>
      </c>
      <c r="R749">
        <v>8.4937000000000005</v>
      </c>
      <c r="S749" t="s">
        <v>39</v>
      </c>
      <c r="T749">
        <v>1322.467641314528</v>
      </c>
      <c r="U749">
        <v>8625352.3499999996</v>
      </c>
      <c r="V749">
        <v>13429658.897549031</v>
      </c>
      <c r="W749" t="s">
        <v>249</v>
      </c>
      <c r="X749" t="s">
        <v>987</v>
      </c>
      <c r="Y749" t="s">
        <v>1002</v>
      </c>
      <c r="Z749" t="b">
        <v>0</v>
      </c>
      <c r="AA749" t="s">
        <v>44</v>
      </c>
      <c r="AB749" t="s">
        <v>45</v>
      </c>
      <c r="AC749" t="s">
        <v>251</v>
      </c>
    </row>
    <row r="750" spans="2:29" x14ac:dyDescent="0.35">
      <c r="B750" t="s">
        <v>1001</v>
      </c>
      <c r="C750">
        <v>739.29</v>
      </c>
      <c r="D750" t="s">
        <v>39</v>
      </c>
      <c r="E750" s="10">
        <v>1151.0732690669761</v>
      </c>
      <c r="F750" t="s">
        <v>30</v>
      </c>
      <c r="G750" s="14">
        <v>46113</v>
      </c>
      <c r="H750">
        <v>12446</v>
      </c>
      <c r="I750">
        <v>9201203.3399999999</v>
      </c>
      <c r="J750">
        <v>1924.2381401103601</v>
      </c>
      <c r="K750" t="s">
        <v>985</v>
      </c>
      <c r="L750" s="9" t="s">
        <v>986</v>
      </c>
      <c r="M750" t="s">
        <v>50</v>
      </c>
      <c r="N750" s="12">
        <v>132.01788538217602</v>
      </c>
      <c r="O750" s="13">
        <v>0.11469112256354071</v>
      </c>
      <c r="P750" s="9" t="s">
        <v>1001</v>
      </c>
      <c r="Q750">
        <v>654.5</v>
      </c>
      <c r="R750">
        <v>6.5449999999999999</v>
      </c>
      <c r="S750" t="s">
        <v>39</v>
      </c>
      <c r="T750">
        <v>1019.0553836848001</v>
      </c>
      <c r="U750">
        <v>1823437</v>
      </c>
      <c r="V750">
        <v>2839088.298945853</v>
      </c>
      <c r="W750" t="s">
        <v>249</v>
      </c>
      <c r="X750" t="s">
        <v>987</v>
      </c>
      <c r="Y750" t="s">
        <v>1002</v>
      </c>
      <c r="Z750" t="b">
        <v>0</v>
      </c>
      <c r="AA750" t="s">
        <v>44</v>
      </c>
      <c r="AB750" t="s">
        <v>45</v>
      </c>
      <c r="AC750" t="s">
        <v>251</v>
      </c>
    </row>
    <row r="751" spans="2:29" x14ac:dyDescent="0.35">
      <c r="B751" t="s">
        <v>1001</v>
      </c>
      <c r="C751">
        <v>734.96</v>
      </c>
      <c r="D751" t="s">
        <v>39</v>
      </c>
      <c r="E751" s="10">
        <v>1144.331466452224</v>
      </c>
      <c r="F751" t="s">
        <v>30</v>
      </c>
      <c r="G751" s="14">
        <v>46113</v>
      </c>
      <c r="H751">
        <v>17667</v>
      </c>
      <c r="I751">
        <v>12984538.32</v>
      </c>
      <c r="J751">
        <v>12294.270284350399</v>
      </c>
      <c r="K751" t="s">
        <v>985</v>
      </c>
      <c r="L751" s="9" t="s">
        <v>986</v>
      </c>
      <c r="M751" t="s">
        <v>50</v>
      </c>
      <c r="N751" s="12">
        <v>319.71402977209607</v>
      </c>
      <c r="O751" s="13">
        <v>0.27938935452269514</v>
      </c>
      <c r="P751" s="9" t="s">
        <v>1001</v>
      </c>
      <c r="Q751">
        <v>529.62</v>
      </c>
      <c r="R751">
        <v>5.2961999999999998</v>
      </c>
      <c r="S751" t="s">
        <v>39</v>
      </c>
      <c r="T751">
        <v>824.61743668012798</v>
      </c>
      <c r="U751">
        <v>1255729.02</v>
      </c>
      <c r="V751">
        <v>1955167.9423685835</v>
      </c>
      <c r="W751" t="s">
        <v>249</v>
      </c>
      <c r="X751" t="s">
        <v>987</v>
      </c>
      <c r="Y751" t="s">
        <v>1002</v>
      </c>
      <c r="Z751" t="b">
        <v>0</v>
      </c>
      <c r="AA751" t="s">
        <v>44</v>
      </c>
      <c r="AB751" t="s">
        <v>45</v>
      </c>
      <c r="AC751" t="s">
        <v>251</v>
      </c>
    </row>
    <row r="752" spans="2:29" x14ac:dyDescent="0.35">
      <c r="B752" t="s">
        <v>1001</v>
      </c>
      <c r="C752">
        <v>704.72</v>
      </c>
      <c r="D752" t="s">
        <v>39</v>
      </c>
      <c r="E752" s="10">
        <v>1097.2478380295681</v>
      </c>
      <c r="F752" t="s">
        <v>30</v>
      </c>
      <c r="G752" s="14">
        <v>46113</v>
      </c>
      <c r="H752">
        <v>2037</v>
      </c>
      <c r="I752">
        <v>1435514.6400000001</v>
      </c>
      <c r="J752">
        <v>4108.86456450068</v>
      </c>
      <c r="K752" t="s">
        <v>985</v>
      </c>
      <c r="L752" s="9" t="s">
        <v>986</v>
      </c>
      <c r="M752" t="s">
        <v>50</v>
      </c>
      <c r="N752" s="12">
        <v>426.16600316022391</v>
      </c>
      <c r="O752" s="13">
        <v>0.38839539107730719</v>
      </c>
      <c r="P752" s="9" t="s">
        <v>1001</v>
      </c>
      <c r="Q752">
        <v>978.43</v>
      </c>
      <c r="R752">
        <v>9.7843</v>
      </c>
      <c r="S752" t="s">
        <v>39</v>
      </c>
      <c r="T752">
        <v>1523.413841189792</v>
      </c>
      <c r="U752">
        <v>10617922.359999999</v>
      </c>
      <c r="V752">
        <v>16532087.004591623</v>
      </c>
      <c r="W752" t="s">
        <v>249</v>
      </c>
      <c r="X752" t="s">
        <v>987</v>
      </c>
      <c r="Y752" t="s">
        <v>1002</v>
      </c>
      <c r="Z752" t="b">
        <v>0</v>
      </c>
      <c r="AA752" t="s">
        <v>44</v>
      </c>
      <c r="AB752" t="s">
        <v>45</v>
      </c>
      <c r="AC752" t="s">
        <v>251</v>
      </c>
    </row>
    <row r="753" spans="2:29" x14ac:dyDescent="0.35">
      <c r="B753" t="s">
        <v>1001</v>
      </c>
      <c r="C753">
        <v>533.51</v>
      </c>
      <c r="D753" t="s">
        <v>39</v>
      </c>
      <c r="E753" s="10">
        <v>830.67416004534402</v>
      </c>
      <c r="F753" t="s">
        <v>30</v>
      </c>
      <c r="G753" s="14">
        <v>46113</v>
      </c>
      <c r="H753">
        <v>17491</v>
      </c>
      <c r="I753">
        <v>9331623.4100000001</v>
      </c>
      <c r="J753">
        <v>185.12497968648</v>
      </c>
      <c r="K753" t="s">
        <v>985</v>
      </c>
      <c r="L753" s="9" t="s">
        <v>986</v>
      </c>
      <c r="M753" t="s">
        <v>50</v>
      </c>
      <c r="N753" s="12">
        <v>568.53792720015986</v>
      </c>
      <c r="O753" s="13">
        <v>0.68442953271728724</v>
      </c>
      <c r="P753" s="9" t="s">
        <v>1001</v>
      </c>
      <c r="Q753">
        <v>898.66</v>
      </c>
      <c r="R753">
        <v>8.9865999999999993</v>
      </c>
      <c r="S753" t="s">
        <v>39</v>
      </c>
      <c r="T753">
        <v>1399.2120872455039</v>
      </c>
      <c r="U753">
        <v>13428676.379999999</v>
      </c>
      <c r="V753">
        <v>20908426.219709564</v>
      </c>
      <c r="W753" t="s">
        <v>249</v>
      </c>
      <c r="X753" t="s">
        <v>987</v>
      </c>
      <c r="Y753" t="s">
        <v>1002</v>
      </c>
      <c r="Z753" t="b">
        <v>0</v>
      </c>
      <c r="AA753" t="s">
        <v>44</v>
      </c>
      <c r="AB753" t="s">
        <v>45</v>
      </c>
      <c r="AC753" t="s">
        <v>251</v>
      </c>
    </row>
    <row r="754" spans="2:29" x14ac:dyDescent="0.35">
      <c r="B754" t="s">
        <v>1003</v>
      </c>
      <c r="C754">
        <v>330.3</v>
      </c>
      <c r="D754" t="s">
        <v>71</v>
      </c>
      <c r="E754" s="10">
        <v>3676.00736870235</v>
      </c>
      <c r="F754" t="s">
        <v>30</v>
      </c>
      <c r="G754" s="14">
        <v>46113</v>
      </c>
      <c r="H754">
        <v>5886</v>
      </c>
      <c r="I754">
        <v>1944145.8</v>
      </c>
      <c r="J754">
        <v>5689.2975079644002</v>
      </c>
      <c r="K754" t="s">
        <v>1004</v>
      </c>
      <c r="L754" s="9" t="s">
        <v>1005</v>
      </c>
      <c r="M754" t="s">
        <v>50</v>
      </c>
      <c r="N754" s="12">
        <v>3207.1951822585102</v>
      </c>
      <c r="O754" s="13">
        <v>0.87246701667811588</v>
      </c>
      <c r="P754" s="9" t="s">
        <v>1003</v>
      </c>
      <c r="Q754">
        <v>301.10000000000002</v>
      </c>
      <c r="R754">
        <v>301.10000000000002</v>
      </c>
      <c r="S754" t="s">
        <v>39</v>
      </c>
      <c r="T754">
        <v>468.81218644384006</v>
      </c>
      <c r="U754">
        <v>2952887.7</v>
      </c>
      <c r="V754">
        <v>4597641.1124547394</v>
      </c>
      <c r="W754" t="s">
        <v>30</v>
      </c>
      <c r="X754" t="s">
        <v>1006</v>
      </c>
      <c r="Y754" t="s">
        <v>1007</v>
      </c>
      <c r="Z754" t="b">
        <v>0</v>
      </c>
      <c r="AA754" t="s">
        <v>44</v>
      </c>
      <c r="AB754" t="s">
        <v>36</v>
      </c>
      <c r="AC754" t="s">
        <v>1008</v>
      </c>
    </row>
    <row r="755" spans="2:29" x14ac:dyDescent="0.35">
      <c r="B755" t="s">
        <v>1009</v>
      </c>
      <c r="C755">
        <v>778.74</v>
      </c>
      <c r="D755" t="s">
        <v>71</v>
      </c>
      <c r="E755" s="10">
        <v>8666.8300887171299</v>
      </c>
      <c r="F755" t="s">
        <v>30</v>
      </c>
      <c r="G755" s="14">
        <v>46113</v>
      </c>
      <c r="H755">
        <v>15192</v>
      </c>
      <c r="I755">
        <v>11830618.08</v>
      </c>
      <c r="J755">
        <v>2332.7010126552</v>
      </c>
      <c r="K755" t="s">
        <v>1004</v>
      </c>
      <c r="L755" s="9" t="s">
        <v>1005</v>
      </c>
      <c r="M755" t="s">
        <v>50</v>
      </c>
      <c r="N755" s="12">
        <v>7423.9406302293864</v>
      </c>
      <c r="O755" s="13">
        <v>0.8565923820168353</v>
      </c>
      <c r="P755" s="9" t="s">
        <v>1009</v>
      </c>
      <c r="Q755">
        <v>798.26</v>
      </c>
      <c r="R755">
        <v>798.26</v>
      </c>
      <c r="S755" t="s">
        <v>39</v>
      </c>
      <c r="T755">
        <v>1242.8894584877439</v>
      </c>
      <c r="U755">
        <v>3246523.42</v>
      </c>
      <c r="V755">
        <v>5054831.4276696546</v>
      </c>
      <c r="W755" t="s">
        <v>30</v>
      </c>
      <c r="X755" t="s">
        <v>1006</v>
      </c>
      <c r="Y755" t="s">
        <v>1010</v>
      </c>
      <c r="Z755" t="b">
        <v>0</v>
      </c>
      <c r="AA755" t="s">
        <v>44</v>
      </c>
      <c r="AB755" t="s">
        <v>36</v>
      </c>
      <c r="AC755" t="s">
        <v>273</v>
      </c>
    </row>
    <row r="756" spans="2:29" x14ac:dyDescent="0.35">
      <c r="B756" t="s">
        <v>1011</v>
      </c>
      <c r="C756">
        <v>833.83</v>
      </c>
      <c r="D756" t="s">
        <v>39</v>
      </c>
      <c r="E756" s="10">
        <v>1298.2718878195521</v>
      </c>
      <c r="F756" t="s">
        <v>30</v>
      </c>
      <c r="G756" s="14">
        <v>46113</v>
      </c>
      <c r="H756">
        <v>18772</v>
      </c>
      <c r="I756">
        <v>15652656.760000002</v>
      </c>
      <c r="J756">
        <v>38647.968609024902</v>
      </c>
      <c r="K756" t="s">
        <v>1012</v>
      </c>
      <c r="L756" s="9" t="s">
        <v>1013</v>
      </c>
      <c r="M756" t="s">
        <v>33</v>
      </c>
      <c r="N756" s="12">
        <v>1175.4091524084481</v>
      </c>
      <c r="O756" s="13">
        <v>0.90536440281592168</v>
      </c>
      <c r="P756" s="9" t="s">
        <v>1011</v>
      </c>
      <c r="Q756">
        <v>78.91</v>
      </c>
      <c r="R756">
        <v>78.91</v>
      </c>
      <c r="S756" t="s">
        <v>39</v>
      </c>
      <c r="T756">
        <v>122.862735411104</v>
      </c>
      <c r="U756">
        <v>1167473.45</v>
      </c>
      <c r="V756">
        <v>1817754.1704072836</v>
      </c>
      <c r="W756" t="s">
        <v>30</v>
      </c>
      <c r="X756" t="s">
        <v>1014</v>
      </c>
      <c r="Y756" t="s">
        <v>1015</v>
      </c>
      <c r="Z756" t="b">
        <v>0</v>
      </c>
      <c r="AA756" t="s">
        <v>35</v>
      </c>
      <c r="AB756" t="s">
        <v>45</v>
      </c>
      <c r="AC756" t="s">
        <v>382</v>
      </c>
    </row>
    <row r="757" spans="2:29" x14ac:dyDescent="0.35">
      <c r="B757" t="s">
        <v>1011</v>
      </c>
      <c r="C757">
        <v>919.58</v>
      </c>
      <c r="D757" t="s">
        <v>39</v>
      </c>
      <c r="E757" s="10">
        <v>1431.784491564352</v>
      </c>
      <c r="F757" t="s">
        <v>30</v>
      </c>
      <c r="G757" s="14">
        <v>46113</v>
      </c>
      <c r="H757">
        <v>3746</v>
      </c>
      <c r="I757">
        <v>3444746.68</v>
      </c>
      <c r="J757">
        <v>19323.9843045124</v>
      </c>
      <c r="K757" t="s">
        <v>1012</v>
      </c>
      <c r="L757" s="9" t="s">
        <v>1013</v>
      </c>
      <c r="M757" t="s">
        <v>33</v>
      </c>
      <c r="N757" s="12">
        <v>1231.5389409215679</v>
      </c>
      <c r="O757" s="13">
        <v>0.86014267382935683</v>
      </c>
      <c r="P757" s="9" t="s">
        <v>1011</v>
      </c>
      <c r="Q757">
        <v>128.61000000000001</v>
      </c>
      <c r="R757">
        <v>128.61000000000001</v>
      </c>
      <c r="S757" t="s">
        <v>39</v>
      </c>
      <c r="T757">
        <v>200.24555064278402</v>
      </c>
      <c r="U757">
        <v>82439.010000000009</v>
      </c>
      <c r="V757">
        <v>128357.39796202457</v>
      </c>
      <c r="W757" t="s">
        <v>30</v>
      </c>
      <c r="X757" t="s">
        <v>1014</v>
      </c>
      <c r="Y757" t="s">
        <v>1015</v>
      </c>
      <c r="Z757" t="b">
        <v>0</v>
      </c>
      <c r="AA757" t="s">
        <v>35</v>
      </c>
      <c r="AB757" t="s">
        <v>45</v>
      </c>
      <c r="AC757" t="s">
        <v>382</v>
      </c>
    </row>
    <row r="758" spans="2:29" x14ac:dyDescent="0.35">
      <c r="B758" t="s">
        <v>1016</v>
      </c>
      <c r="C758">
        <v>827.14</v>
      </c>
      <c r="D758" t="s">
        <v>39</v>
      </c>
      <c r="E758" s="10">
        <v>1287.855569230016</v>
      </c>
      <c r="F758" t="s">
        <v>30</v>
      </c>
      <c r="G758" s="14">
        <v>46113</v>
      </c>
      <c r="H758">
        <v>8997</v>
      </c>
      <c r="I758">
        <v>7441778.5800000001</v>
      </c>
      <c r="J758">
        <v>90958.411345813394</v>
      </c>
      <c r="K758" t="s">
        <v>1012</v>
      </c>
      <c r="L758" s="9" t="s">
        <v>1013</v>
      </c>
      <c r="M758" t="s">
        <v>33</v>
      </c>
      <c r="N758" s="12">
        <v>469.87094528403202</v>
      </c>
      <c r="O758" s="13">
        <v>0.36484754696907418</v>
      </c>
      <c r="P758" s="9" t="s">
        <v>1016</v>
      </c>
      <c r="Q758">
        <v>525.36</v>
      </c>
      <c r="R758">
        <v>525.36</v>
      </c>
      <c r="S758" t="s">
        <v>39</v>
      </c>
      <c r="T758">
        <v>817.98462394598403</v>
      </c>
      <c r="U758">
        <v>1103781.3600000001</v>
      </c>
      <c r="V758">
        <v>1718585.6949105125</v>
      </c>
      <c r="W758" t="s">
        <v>30</v>
      </c>
      <c r="X758" t="s">
        <v>1014</v>
      </c>
      <c r="Y758" t="s">
        <v>1017</v>
      </c>
      <c r="Z758" t="b">
        <v>0</v>
      </c>
      <c r="AA758" t="s">
        <v>35</v>
      </c>
      <c r="AB758" t="s">
        <v>45</v>
      </c>
      <c r="AC758" t="s">
        <v>382</v>
      </c>
    </row>
    <row r="759" spans="2:29" x14ac:dyDescent="0.35">
      <c r="B759" t="s">
        <v>1016</v>
      </c>
      <c r="C759">
        <v>233.7</v>
      </c>
      <c r="D759" t="s">
        <v>39</v>
      </c>
      <c r="E759" s="10">
        <v>363.87050140127997</v>
      </c>
      <c r="F759" t="s">
        <v>30</v>
      </c>
      <c r="G759" s="14">
        <v>46113</v>
      </c>
      <c r="H759">
        <v>16713</v>
      </c>
      <c r="I759">
        <v>3905828.0999999996</v>
      </c>
      <c r="J759">
        <v>65636.086752529707</v>
      </c>
      <c r="K759" t="s">
        <v>1012</v>
      </c>
      <c r="L759" s="9" t="s">
        <v>1013</v>
      </c>
      <c r="M759" t="s">
        <v>33</v>
      </c>
      <c r="N759" s="12">
        <v>513.04650798774412</v>
      </c>
      <c r="O759" s="13">
        <v>1.4099700470688923</v>
      </c>
      <c r="P759" s="9" t="s">
        <v>1016</v>
      </c>
      <c r="Q759">
        <v>563.21</v>
      </c>
      <c r="R759">
        <v>563.21</v>
      </c>
      <c r="S759" t="s">
        <v>39</v>
      </c>
      <c r="T759">
        <v>876.91700938902409</v>
      </c>
      <c r="U759">
        <v>5098176.92</v>
      </c>
      <c r="V759">
        <v>7937852.7689894456</v>
      </c>
      <c r="W759" t="s">
        <v>30</v>
      </c>
      <c r="X759" t="s">
        <v>1014</v>
      </c>
      <c r="Y759" t="s">
        <v>1017</v>
      </c>
      <c r="Z759" t="b">
        <v>0</v>
      </c>
      <c r="AA759" t="s">
        <v>35</v>
      </c>
      <c r="AB759" t="s">
        <v>45</v>
      </c>
      <c r="AC759" t="s">
        <v>382</v>
      </c>
    </row>
    <row r="760" spans="2:29" x14ac:dyDescent="0.35">
      <c r="B760" t="s">
        <v>1018</v>
      </c>
      <c r="C760">
        <v>603.96</v>
      </c>
      <c r="D760" t="s">
        <v>39</v>
      </c>
      <c r="E760" s="10">
        <v>940.36468988582408</v>
      </c>
      <c r="F760" t="s">
        <v>30</v>
      </c>
      <c r="G760" s="14">
        <v>46113</v>
      </c>
      <c r="H760">
        <v>6496</v>
      </c>
      <c r="I760">
        <v>3923324.16</v>
      </c>
      <c r="J760">
        <v>44193.870728215501</v>
      </c>
      <c r="K760" t="s">
        <v>1012</v>
      </c>
      <c r="L760" s="9" t="s">
        <v>1013</v>
      </c>
      <c r="M760" t="s">
        <v>33</v>
      </c>
      <c r="N760" s="12">
        <v>546.19500167552007</v>
      </c>
      <c r="O760" s="13">
        <v>0.58083316775945426</v>
      </c>
      <c r="P760" s="9" t="s">
        <v>1018</v>
      </c>
      <c r="Q760">
        <v>253.16</v>
      </c>
      <c r="R760">
        <v>253.16</v>
      </c>
      <c r="S760" t="s">
        <v>39</v>
      </c>
      <c r="T760">
        <v>394.169688210304</v>
      </c>
      <c r="U760">
        <v>2922225.88</v>
      </c>
      <c r="V760">
        <v>4549900.7110115392</v>
      </c>
      <c r="W760" t="s">
        <v>30</v>
      </c>
      <c r="X760" t="s">
        <v>1014</v>
      </c>
      <c r="Y760" t="s">
        <v>1019</v>
      </c>
      <c r="Z760" t="b">
        <v>0</v>
      </c>
      <c r="AA760" t="s">
        <v>35</v>
      </c>
      <c r="AB760" t="s">
        <v>45</v>
      </c>
      <c r="AC760" t="s">
        <v>382</v>
      </c>
    </row>
    <row r="761" spans="2:29" x14ac:dyDescent="0.35">
      <c r="B761" t="s">
        <v>1018</v>
      </c>
      <c r="C761">
        <v>110.47</v>
      </c>
      <c r="D761" t="s">
        <v>39</v>
      </c>
      <c r="E761" s="10">
        <v>172.00160158236801</v>
      </c>
      <c r="F761" t="s">
        <v>30</v>
      </c>
      <c r="G761" s="14">
        <v>46113</v>
      </c>
      <c r="H761">
        <v>15707</v>
      </c>
      <c r="I761">
        <v>1735152.29</v>
      </c>
      <c r="J761">
        <v>29462.580485476999</v>
      </c>
      <c r="K761" t="s">
        <v>1012</v>
      </c>
      <c r="L761" s="9" t="s">
        <v>1013</v>
      </c>
      <c r="M761" t="s">
        <v>33</v>
      </c>
      <c r="N761" s="12">
        <v>1096.1890791893759</v>
      </c>
      <c r="O761" s="13">
        <v>6.3731329772788978</v>
      </c>
      <c r="P761" s="9" t="s">
        <v>1018</v>
      </c>
      <c r="Q761">
        <v>814.51</v>
      </c>
      <c r="R761">
        <v>814.51</v>
      </c>
      <c r="S761" t="s">
        <v>39</v>
      </c>
      <c r="T761">
        <v>1268.1906807717439</v>
      </c>
      <c r="U761">
        <v>16131370.550000001</v>
      </c>
      <c r="V761">
        <v>25116516.432684388</v>
      </c>
      <c r="W761" t="s">
        <v>30</v>
      </c>
      <c r="X761" t="s">
        <v>1014</v>
      </c>
      <c r="Y761" t="s">
        <v>1019</v>
      </c>
      <c r="Z761" t="b">
        <v>0</v>
      </c>
      <c r="AA761" t="s">
        <v>35</v>
      </c>
      <c r="AB761" t="s">
        <v>45</v>
      </c>
      <c r="AC761" t="s">
        <v>382</v>
      </c>
    </row>
    <row r="762" spans="2:29" x14ac:dyDescent="0.35">
      <c r="B762" t="s">
        <v>1020</v>
      </c>
      <c r="C762">
        <v>535.61</v>
      </c>
      <c r="D762" t="s">
        <v>39</v>
      </c>
      <c r="E762" s="10">
        <v>833.9438564635841</v>
      </c>
      <c r="F762" t="s">
        <v>30</v>
      </c>
      <c r="G762" s="14">
        <v>46113</v>
      </c>
      <c r="H762">
        <v>7645</v>
      </c>
      <c r="I762">
        <v>4094738.45</v>
      </c>
      <c r="J762">
        <v>1728.2681067840001</v>
      </c>
      <c r="K762" t="s">
        <v>1012</v>
      </c>
      <c r="L762" s="9" t="s">
        <v>1013</v>
      </c>
      <c r="M762" t="s">
        <v>33</v>
      </c>
      <c r="N762" s="12">
        <v>92.376708806752049</v>
      </c>
      <c r="O762" s="13">
        <v>0.11077089673456438</v>
      </c>
      <c r="P762" s="9" t="s">
        <v>1020</v>
      </c>
      <c r="Q762">
        <v>594.94000000000005</v>
      </c>
      <c r="R762">
        <v>594.94000000000005</v>
      </c>
      <c r="S762" t="s">
        <v>39</v>
      </c>
      <c r="T762">
        <v>926.32056527033615</v>
      </c>
      <c r="U762">
        <v>2492203.66</v>
      </c>
      <c r="V762">
        <v>3880356.847917438</v>
      </c>
      <c r="W762" t="s">
        <v>30</v>
      </c>
      <c r="X762" t="s">
        <v>1014</v>
      </c>
      <c r="Y762" t="s">
        <v>1021</v>
      </c>
      <c r="Z762" t="b">
        <v>0</v>
      </c>
      <c r="AA762" t="s">
        <v>44</v>
      </c>
      <c r="AB762" t="s">
        <v>45</v>
      </c>
      <c r="AC762" t="s">
        <v>273</v>
      </c>
    </row>
    <row r="763" spans="2:29" x14ac:dyDescent="0.35">
      <c r="B763" t="s">
        <v>1020</v>
      </c>
      <c r="C763">
        <v>852.97</v>
      </c>
      <c r="D763" t="s">
        <v>39</v>
      </c>
      <c r="E763" s="10">
        <v>1328.072835174368</v>
      </c>
      <c r="F763" t="s">
        <v>30</v>
      </c>
      <c r="G763" s="14">
        <v>46113</v>
      </c>
      <c r="H763">
        <v>18013</v>
      </c>
      <c r="I763">
        <v>15364548.610000001</v>
      </c>
      <c r="J763">
        <v>345.88717110096002</v>
      </c>
      <c r="K763" t="s">
        <v>1012</v>
      </c>
      <c r="L763" s="9" t="s">
        <v>1013</v>
      </c>
      <c r="M763" t="s">
        <v>33</v>
      </c>
      <c r="N763" s="12">
        <v>80.309972025151865</v>
      </c>
      <c r="O763" s="13">
        <v>6.0471059943491459E-2</v>
      </c>
      <c r="P763" s="9" t="s">
        <v>1020</v>
      </c>
      <c r="Q763">
        <v>904.55</v>
      </c>
      <c r="R763">
        <v>904.55</v>
      </c>
      <c r="S763" t="s">
        <v>39</v>
      </c>
      <c r="T763">
        <v>1408.3828071995199</v>
      </c>
      <c r="U763">
        <v>7308764</v>
      </c>
      <c r="V763">
        <v>11379733.08217212</v>
      </c>
      <c r="W763" t="s">
        <v>30</v>
      </c>
      <c r="X763" t="s">
        <v>1014</v>
      </c>
      <c r="Y763" t="s">
        <v>1021</v>
      </c>
      <c r="Z763" t="b">
        <v>0</v>
      </c>
      <c r="AA763" t="s">
        <v>44</v>
      </c>
      <c r="AB763" t="s">
        <v>45</v>
      </c>
      <c r="AC763" t="s">
        <v>273</v>
      </c>
    </row>
    <row r="764" spans="2:29" x14ac:dyDescent="0.35">
      <c r="B764" t="s">
        <v>1022</v>
      </c>
      <c r="C764">
        <v>185.2</v>
      </c>
      <c r="D764" t="s">
        <v>29</v>
      </c>
      <c r="E764" s="10">
        <v>1720.6492149999999</v>
      </c>
      <c r="F764" t="s">
        <v>30</v>
      </c>
      <c r="G764" s="14">
        <v>46113</v>
      </c>
      <c r="H764">
        <v>17360</v>
      </c>
      <c r="I764">
        <v>3215072</v>
      </c>
      <c r="J764">
        <v>9894.6620624999996</v>
      </c>
      <c r="K764" t="s">
        <v>1023</v>
      </c>
      <c r="L764" s="9" t="s">
        <v>1024</v>
      </c>
      <c r="M764" t="s">
        <v>50</v>
      </c>
      <c r="N764" s="12">
        <v>959.02792931129591</v>
      </c>
      <c r="O764" s="13">
        <v>0.55736400014066545</v>
      </c>
      <c r="P764" s="9" t="s">
        <v>1022</v>
      </c>
      <c r="Q764">
        <v>489.16</v>
      </c>
      <c r="R764">
        <v>489.16</v>
      </c>
      <c r="S764" t="s">
        <v>39</v>
      </c>
      <c r="T764">
        <v>761.62128568870401</v>
      </c>
      <c r="U764">
        <v>5450709.8799999999</v>
      </c>
      <c r="V764">
        <v>8486745.9864292294</v>
      </c>
      <c r="W764" t="s">
        <v>30</v>
      </c>
      <c r="X764" t="s">
        <v>1025</v>
      </c>
      <c r="Y764" t="s">
        <v>540</v>
      </c>
      <c r="Z764" t="b">
        <v>0</v>
      </c>
      <c r="AA764" t="s">
        <v>44</v>
      </c>
      <c r="AB764" t="s">
        <v>36</v>
      </c>
      <c r="AC764" t="s">
        <v>434</v>
      </c>
    </row>
    <row r="765" spans="2:29" x14ac:dyDescent="0.35">
      <c r="B765" t="s">
        <v>1026</v>
      </c>
      <c r="C765">
        <v>884.83</v>
      </c>
      <c r="D765" t="s">
        <v>29</v>
      </c>
      <c r="E765" s="10">
        <v>8220.7453828750004</v>
      </c>
      <c r="F765" t="s">
        <v>30</v>
      </c>
      <c r="G765" s="14">
        <v>46113</v>
      </c>
      <c r="H765">
        <v>17850</v>
      </c>
      <c r="I765">
        <v>15794215.5</v>
      </c>
      <c r="J765">
        <v>2380.2933524999999</v>
      </c>
      <c r="K765" t="s">
        <v>1023</v>
      </c>
      <c r="L765" s="9" t="s">
        <v>1024</v>
      </c>
      <c r="M765" t="s">
        <v>50</v>
      </c>
      <c r="N765" s="12">
        <v>7874.0797126268408</v>
      </c>
      <c r="O765" s="13">
        <v>0.95783038470327586</v>
      </c>
      <c r="P765" s="9" t="s">
        <v>1026</v>
      </c>
      <c r="Q765">
        <v>222.65</v>
      </c>
      <c r="R765">
        <v>222.65</v>
      </c>
      <c r="S765" t="s">
        <v>39</v>
      </c>
      <c r="T765">
        <v>346.66567024816004</v>
      </c>
      <c r="U765">
        <v>430827.75</v>
      </c>
      <c r="V765">
        <v>670798.07193018973</v>
      </c>
      <c r="W765" t="s">
        <v>30</v>
      </c>
      <c r="X765" t="s">
        <v>1025</v>
      </c>
      <c r="Y765" t="s">
        <v>962</v>
      </c>
      <c r="Z765" t="b">
        <v>0</v>
      </c>
      <c r="AA765" t="s">
        <v>44</v>
      </c>
      <c r="AB765" t="s">
        <v>36</v>
      </c>
      <c r="AC765" t="s">
        <v>1027</v>
      </c>
    </row>
    <row r="766" spans="2:29" x14ac:dyDescent="0.35">
      <c r="B766" t="s">
        <v>1028</v>
      </c>
      <c r="C766">
        <v>518.99</v>
      </c>
      <c r="D766" t="s">
        <v>29</v>
      </c>
      <c r="E766" s="10">
        <v>4821.8128298749998</v>
      </c>
      <c r="F766" t="s">
        <v>30</v>
      </c>
      <c r="G766" s="14">
        <v>46113</v>
      </c>
      <c r="H766">
        <v>8653</v>
      </c>
      <c r="I766">
        <v>4490820.47</v>
      </c>
      <c r="J766">
        <v>5083.90524</v>
      </c>
      <c r="K766" t="s">
        <v>1023</v>
      </c>
      <c r="L766" s="9" t="s">
        <v>1024</v>
      </c>
      <c r="M766" t="s">
        <v>50</v>
      </c>
      <c r="N766" s="12">
        <v>4816.2387759810481</v>
      </c>
      <c r="O766" s="13">
        <v>0.99884399206468244</v>
      </c>
      <c r="P766" s="9" t="s">
        <v>1028</v>
      </c>
      <c r="Q766">
        <v>3.58</v>
      </c>
      <c r="R766">
        <v>3.58</v>
      </c>
      <c r="S766" t="s">
        <v>39</v>
      </c>
      <c r="T766">
        <v>5.5740538939520006</v>
      </c>
      <c r="U766">
        <v>16965.62</v>
      </c>
      <c r="V766">
        <v>26415.44140343853</v>
      </c>
      <c r="W766" t="s">
        <v>30</v>
      </c>
      <c r="X766" t="s">
        <v>1025</v>
      </c>
      <c r="Y766" t="s">
        <v>1029</v>
      </c>
      <c r="Z766" t="b">
        <v>0</v>
      </c>
      <c r="AA766" t="s">
        <v>44</v>
      </c>
      <c r="AB766" t="s">
        <v>36</v>
      </c>
      <c r="AC766" t="s">
        <v>1027</v>
      </c>
    </row>
    <row r="767" spans="2:29" x14ac:dyDescent="0.35">
      <c r="B767" t="s">
        <v>1030</v>
      </c>
      <c r="C767">
        <v>721.67</v>
      </c>
      <c r="D767" t="s">
        <v>29</v>
      </c>
      <c r="E767" s="10">
        <v>6704.8645733749991</v>
      </c>
      <c r="F767" t="s">
        <v>30</v>
      </c>
      <c r="G767" s="14">
        <v>46113</v>
      </c>
      <c r="H767">
        <v>16194</v>
      </c>
      <c r="I767">
        <v>11686723.979999999</v>
      </c>
      <c r="J767">
        <v>18971.737024999999</v>
      </c>
      <c r="K767" t="s">
        <v>1031</v>
      </c>
      <c r="L767" s="9" t="s">
        <v>1032</v>
      </c>
      <c r="M767" t="s">
        <v>42</v>
      </c>
      <c r="N767" s="12">
        <v>6300.0605868139428</v>
      </c>
      <c r="O767" s="13">
        <v>0.93962532991814152</v>
      </c>
      <c r="P767" s="9" t="s">
        <v>1030</v>
      </c>
      <c r="Q767">
        <v>259.99</v>
      </c>
      <c r="R767">
        <v>259.99</v>
      </c>
      <c r="S767" t="s">
        <v>39</v>
      </c>
      <c r="T767">
        <v>404.80398656105604</v>
      </c>
      <c r="U767">
        <v>37178.57</v>
      </c>
      <c r="V767">
        <v>57886.97007823101</v>
      </c>
      <c r="W767" t="s">
        <v>30</v>
      </c>
      <c r="X767" t="s">
        <v>1033</v>
      </c>
      <c r="Y767" t="s">
        <v>1034</v>
      </c>
      <c r="Z767" t="b">
        <v>0</v>
      </c>
      <c r="AA767" t="s">
        <v>44</v>
      </c>
      <c r="AB767" t="s">
        <v>36</v>
      </c>
      <c r="AC767" t="s">
        <v>158</v>
      </c>
    </row>
    <row r="768" spans="2:29" x14ac:dyDescent="0.35">
      <c r="B768" t="s">
        <v>1035</v>
      </c>
      <c r="C768">
        <v>547.79</v>
      </c>
      <c r="D768" t="s">
        <v>29</v>
      </c>
      <c r="E768" s="10">
        <v>5089.3867898749995</v>
      </c>
      <c r="F768" t="s">
        <v>30</v>
      </c>
      <c r="G768" s="14">
        <v>46113</v>
      </c>
      <c r="H768">
        <v>15565</v>
      </c>
      <c r="I768">
        <v>8526351.3499999996</v>
      </c>
      <c r="J768">
        <v>20309.885547875001</v>
      </c>
      <c r="K768" t="s">
        <v>1031</v>
      </c>
      <c r="L768" s="9" t="s">
        <v>1032</v>
      </c>
      <c r="M768" t="s">
        <v>42</v>
      </c>
      <c r="N768" s="12">
        <v>5005.3244519603431</v>
      </c>
      <c r="O768" s="13">
        <v>0.98348281602768084</v>
      </c>
      <c r="P768" s="9" t="s">
        <v>1035</v>
      </c>
      <c r="Q768">
        <v>53.99</v>
      </c>
      <c r="R768">
        <v>53.99</v>
      </c>
      <c r="S768" t="s">
        <v>39</v>
      </c>
      <c r="T768">
        <v>84.062337914655998</v>
      </c>
      <c r="U768">
        <v>113918.90000000001</v>
      </c>
      <c r="V768">
        <v>177371.53299992415</v>
      </c>
      <c r="W768" t="s">
        <v>30</v>
      </c>
      <c r="X768" t="s">
        <v>1033</v>
      </c>
      <c r="Y768" t="s">
        <v>1036</v>
      </c>
      <c r="Z768" t="b">
        <v>0</v>
      </c>
      <c r="AA768" t="s">
        <v>44</v>
      </c>
      <c r="AB768" t="s">
        <v>36</v>
      </c>
      <c r="AC768" t="s">
        <v>196</v>
      </c>
    </row>
    <row r="769" spans="2:29" x14ac:dyDescent="0.35">
      <c r="B769" t="s">
        <v>1037</v>
      </c>
      <c r="C769">
        <v>211.63</v>
      </c>
      <c r="D769" t="s">
        <v>29</v>
      </c>
      <c r="E769" s="10">
        <v>1966.204067875</v>
      </c>
      <c r="F769" t="s">
        <v>30</v>
      </c>
      <c r="G769" s="14">
        <v>46113</v>
      </c>
      <c r="H769">
        <v>16234</v>
      </c>
      <c r="I769">
        <v>3435601.42</v>
      </c>
      <c r="J769">
        <v>63470.327138400004</v>
      </c>
      <c r="K769" t="s">
        <v>1031</v>
      </c>
      <c r="L769" s="9" t="s">
        <v>1032</v>
      </c>
      <c r="M769" t="s">
        <v>42</v>
      </c>
      <c r="N769" s="12">
        <v>1484.6089254341359</v>
      </c>
      <c r="O769" s="13">
        <v>0.75506350011707879</v>
      </c>
      <c r="P769" s="9" t="s">
        <v>1037</v>
      </c>
      <c r="Q769">
        <v>309.31</v>
      </c>
      <c r="R769">
        <v>309.31</v>
      </c>
      <c r="S769" t="s">
        <v>39</v>
      </c>
      <c r="T769">
        <v>481.59514244086404</v>
      </c>
      <c r="U769">
        <v>2397152.5</v>
      </c>
      <c r="V769">
        <v>3732362.3539166963</v>
      </c>
      <c r="W769" t="s">
        <v>30</v>
      </c>
      <c r="X769" t="s">
        <v>1033</v>
      </c>
      <c r="Y769" t="s">
        <v>722</v>
      </c>
      <c r="Z769" t="b">
        <v>0</v>
      </c>
      <c r="AA769" t="s">
        <v>44</v>
      </c>
      <c r="AB769" t="s">
        <v>36</v>
      </c>
      <c r="AC769" t="s">
        <v>158</v>
      </c>
    </row>
    <row r="770" spans="2:29" x14ac:dyDescent="0.35">
      <c r="B770" t="s">
        <v>1038</v>
      </c>
      <c r="C770">
        <v>564.63</v>
      </c>
      <c r="D770" t="s">
        <v>29</v>
      </c>
      <c r="E770" s="10">
        <v>5245.8432303749996</v>
      </c>
      <c r="F770" t="s">
        <v>30</v>
      </c>
      <c r="G770" s="14">
        <v>46113</v>
      </c>
      <c r="H770">
        <v>16771</v>
      </c>
      <c r="I770">
        <v>9469409.7300000004</v>
      </c>
      <c r="J770">
        <v>122256.5491287</v>
      </c>
      <c r="K770" t="s">
        <v>1031</v>
      </c>
      <c r="L770" s="9" t="s">
        <v>1032</v>
      </c>
      <c r="M770" t="s">
        <v>42</v>
      </c>
      <c r="N770" s="12">
        <v>4298.1450785225516</v>
      </c>
      <c r="O770" s="13">
        <v>0.81934302833050887</v>
      </c>
      <c r="P770" s="9" t="s">
        <v>1038</v>
      </c>
      <c r="Q770">
        <v>608.66999999999996</v>
      </c>
      <c r="R770">
        <v>608.66999999999996</v>
      </c>
      <c r="S770" t="s">
        <v>39</v>
      </c>
      <c r="T770">
        <v>947.69815185244795</v>
      </c>
      <c r="U770">
        <v>5418380.3399999999</v>
      </c>
      <c r="V770">
        <v>8436408.9477904923</v>
      </c>
      <c r="W770" t="s">
        <v>30</v>
      </c>
      <c r="X770" t="s">
        <v>1033</v>
      </c>
      <c r="Y770" t="s">
        <v>505</v>
      </c>
      <c r="Z770" t="b">
        <v>0</v>
      </c>
      <c r="AA770" t="s">
        <v>44</v>
      </c>
      <c r="AB770" t="s">
        <v>36</v>
      </c>
      <c r="AC770" t="s">
        <v>158</v>
      </c>
    </row>
    <row r="771" spans="2:29" x14ac:dyDescent="0.35">
      <c r="B771" t="s">
        <v>1039</v>
      </c>
      <c r="C771">
        <v>394.95</v>
      </c>
      <c r="D771" t="s">
        <v>29</v>
      </c>
      <c r="E771" s="10">
        <v>3669.3866493749997</v>
      </c>
      <c r="F771" t="s">
        <v>30</v>
      </c>
      <c r="G771" s="14">
        <v>46113</v>
      </c>
      <c r="H771">
        <v>8244</v>
      </c>
      <c r="I771">
        <v>3255967.8</v>
      </c>
      <c r="J771">
        <v>191625.76719360001</v>
      </c>
      <c r="K771" t="s">
        <v>1031</v>
      </c>
      <c r="L771" s="9" t="s">
        <v>1032</v>
      </c>
      <c r="M771" t="s">
        <v>42</v>
      </c>
      <c r="N771" s="12">
        <v>2630.4016875218795</v>
      </c>
      <c r="O771" s="13">
        <v>0.71685050905439773</v>
      </c>
      <c r="P771" s="9" t="s">
        <v>1039</v>
      </c>
      <c r="Q771">
        <v>667.3</v>
      </c>
      <c r="R771">
        <v>667.3</v>
      </c>
      <c r="S771" t="s">
        <v>39</v>
      </c>
      <c r="T771">
        <v>1038.98496185312</v>
      </c>
      <c r="U771">
        <v>2017247.9</v>
      </c>
      <c r="V771">
        <v>3140851.5396819818</v>
      </c>
      <c r="W771" t="s">
        <v>30</v>
      </c>
      <c r="X771" t="s">
        <v>1033</v>
      </c>
      <c r="Y771" t="s">
        <v>629</v>
      </c>
      <c r="Z771" t="b">
        <v>0</v>
      </c>
      <c r="AA771" t="s">
        <v>44</v>
      </c>
      <c r="AB771" t="s">
        <v>36</v>
      </c>
      <c r="AC771" t="s">
        <v>158</v>
      </c>
    </row>
    <row r="772" spans="2:29" x14ac:dyDescent="0.35">
      <c r="B772" t="s">
        <v>1039</v>
      </c>
      <c r="C772">
        <v>839.39</v>
      </c>
      <c r="D772" t="s">
        <v>29</v>
      </c>
      <c r="E772" s="10">
        <v>7798.5731348749996</v>
      </c>
      <c r="F772" t="s">
        <v>30</v>
      </c>
      <c r="G772" s="14">
        <v>46113</v>
      </c>
      <c r="H772">
        <v>4485</v>
      </c>
      <c r="I772">
        <v>3764664.15</v>
      </c>
      <c r="J772">
        <v>191625.76719360001</v>
      </c>
      <c r="K772" t="s">
        <v>1031</v>
      </c>
      <c r="L772" s="9" t="s">
        <v>1032</v>
      </c>
      <c r="M772" t="s">
        <v>42</v>
      </c>
      <c r="N772" s="12">
        <v>7470.871703852632</v>
      </c>
      <c r="O772" s="13">
        <v>0.957979309117857</v>
      </c>
      <c r="P772" s="9" t="s">
        <v>1039</v>
      </c>
      <c r="Q772">
        <v>210.47</v>
      </c>
      <c r="R772">
        <v>210.47</v>
      </c>
      <c r="S772" t="s">
        <v>39</v>
      </c>
      <c r="T772">
        <v>327.70143102236801</v>
      </c>
      <c r="U772">
        <v>3170520.08</v>
      </c>
      <c r="V772">
        <v>4936494.356920952</v>
      </c>
      <c r="W772" t="s">
        <v>30</v>
      </c>
      <c r="X772" t="s">
        <v>1033</v>
      </c>
      <c r="Y772" t="s">
        <v>629</v>
      </c>
      <c r="Z772" t="b">
        <v>0</v>
      </c>
      <c r="AA772" t="s">
        <v>44</v>
      </c>
      <c r="AB772" t="s">
        <v>36</v>
      </c>
      <c r="AC772" t="s">
        <v>158</v>
      </c>
    </row>
    <row r="773" spans="2:29" x14ac:dyDescent="0.35">
      <c r="B773" t="s">
        <v>1039</v>
      </c>
      <c r="C773">
        <v>876.74</v>
      </c>
      <c r="D773" t="s">
        <v>29</v>
      </c>
      <c r="E773" s="10">
        <v>8145.5831142500001</v>
      </c>
      <c r="F773" t="s">
        <v>30</v>
      </c>
      <c r="G773" s="14">
        <v>46113</v>
      </c>
      <c r="H773">
        <v>6310</v>
      </c>
      <c r="I773">
        <v>5532229.4000000004</v>
      </c>
      <c r="J773">
        <v>189851.45453439999</v>
      </c>
      <c r="K773" t="s">
        <v>1031</v>
      </c>
      <c r="L773" s="9" t="s">
        <v>1032</v>
      </c>
      <c r="M773" t="s">
        <v>42</v>
      </c>
      <c r="N773" s="12">
        <v>7604.7908966560481</v>
      </c>
      <c r="O773" s="13">
        <v>0.93360914620736213</v>
      </c>
      <c r="P773" s="9" t="s">
        <v>1039</v>
      </c>
      <c r="Q773">
        <v>347.33</v>
      </c>
      <c r="R773">
        <v>347.33</v>
      </c>
      <c r="S773" t="s">
        <v>39</v>
      </c>
      <c r="T773">
        <v>540.79221759395193</v>
      </c>
      <c r="U773">
        <v>5589234.3599999994</v>
      </c>
      <c r="V773">
        <v>8702428.3655218743</v>
      </c>
      <c r="W773" t="s">
        <v>30</v>
      </c>
      <c r="X773" t="s">
        <v>1033</v>
      </c>
      <c r="Y773" t="s">
        <v>629</v>
      </c>
      <c r="Z773" t="b">
        <v>0</v>
      </c>
      <c r="AA773" t="s">
        <v>44</v>
      </c>
      <c r="AB773" t="s">
        <v>36</v>
      </c>
      <c r="AC773" t="s">
        <v>158</v>
      </c>
    </row>
    <row r="774" spans="2:29" x14ac:dyDescent="0.35">
      <c r="B774" t="s">
        <v>1039</v>
      </c>
      <c r="C774">
        <v>976.23</v>
      </c>
      <c r="D774" t="s">
        <v>29</v>
      </c>
      <c r="E774" s="10">
        <v>9069.9210753749994</v>
      </c>
      <c r="F774" t="s">
        <v>30</v>
      </c>
      <c r="G774" s="14">
        <v>46113</v>
      </c>
      <c r="H774">
        <v>17117</v>
      </c>
      <c r="I774">
        <v>16710128.91</v>
      </c>
      <c r="J774">
        <v>95812.883596800006</v>
      </c>
      <c r="K774" t="s">
        <v>1031</v>
      </c>
      <c r="L774" s="9" t="s">
        <v>1032</v>
      </c>
      <c r="M774" t="s">
        <v>42</v>
      </c>
      <c r="N774" s="12">
        <v>8533.628582851863</v>
      </c>
      <c r="O774" s="13">
        <v>0.94087131651242473</v>
      </c>
      <c r="P774" s="9" t="s">
        <v>1039</v>
      </c>
      <c r="Q774">
        <v>344.44</v>
      </c>
      <c r="R774">
        <v>344.44</v>
      </c>
      <c r="S774" t="s">
        <v>39</v>
      </c>
      <c r="T774">
        <v>536.29249252313605</v>
      </c>
      <c r="U774">
        <v>339617.84</v>
      </c>
      <c r="V774">
        <v>528784.39762781211</v>
      </c>
      <c r="W774" t="s">
        <v>30</v>
      </c>
      <c r="X774" t="s">
        <v>1033</v>
      </c>
      <c r="Y774" t="s">
        <v>629</v>
      </c>
      <c r="Z774" t="b">
        <v>0</v>
      </c>
      <c r="AA774" t="s">
        <v>44</v>
      </c>
      <c r="AB774" t="s">
        <v>36</v>
      </c>
      <c r="AC774" t="s">
        <v>158</v>
      </c>
    </row>
    <row r="775" spans="2:29" x14ac:dyDescent="0.35">
      <c r="B775" t="s">
        <v>1039</v>
      </c>
      <c r="C775">
        <v>444.27</v>
      </c>
      <c r="D775" t="s">
        <v>29</v>
      </c>
      <c r="E775" s="10">
        <v>4127.6070558749998</v>
      </c>
      <c r="F775" t="s">
        <v>30</v>
      </c>
      <c r="G775" s="14">
        <v>46113</v>
      </c>
      <c r="H775">
        <v>11868</v>
      </c>
      <c r="I775">
        <v>5272596.3599999994</v>
      </c>
      <c r="J775">
        <v>191625.76719360001</v>
      </c>
      <c r="K775" t="s">
        <v>1031</v>
      </c>
      <c r="L775" s="9" t="s">
        <v>1032</v>
      </c>
      <c r="M775" t="s">
        <v>42</v>
      </c>
      <c r="N775" s="12">
        <v>3068.0852865187435</v>
      </c>
      <c r="O775" s="13">
        <v>0.74330847025561853</v>
      </c>
      <c r="P775" s="9" t="s">
        <v>1039</v>
      </c>
      <c r="Q775">
        <v>680.49</v>
      </c>
      <c r="R775">
        <v>680.49</v>
      </c>
      <c r="S775" t="s">
        <v>39</v>
      </c>
      <c r="T775">
        <v>1059.5217693562561</v>
      </c>
      <c r="U775">
        <v>11779281.9</v>
      </c>
      <c r="V775">
        <v>18340321.827556793</v>
      </c>
      <c r="W775" t="s">
        <v>30</v>
      </c>
      <c r="X775" t="s">
        <v>1033</v>
      </c>
      <c r="Y775" t="s">
        <v>629</v>
      </c>
      <c r="Z775" t="b">
        <v>0</v>
      </c>
      <c r="AA775" t="s">
        <v>44</v>
      </c>
      <c r="AB775" t="s">
        <v>36</v>
      </c>
      <c r="AC775" t="s">
        <v>158</v>
      </c>
    </row>
    <row r="776" spans="2:29" x14ac:dyDescent="0.35">
      <c r="B776" t="s">
        <v>1039</v>
      </c>
      <c r="C776">
        <v>545.55999999999995</v>
      </c>
      <c r="D776" t="s">
        <v>29</v>
      </c>
      <c r="E776" s="10">
        <v>5068.6683894999996</v>
      </c>
      <c r="F776" t="s">
        <v>30</v>
      </c>
      <c r="G776" s="14">
        <v>46113</v>
      </c>
      <c r="H776">
        <v>4083</v>
      </c>
      <c r="I776">
        <v>2227521.48</v>
      </c>
      <c r="J776">
        <v>98307.743199839999</v>
      </c>
      <c r="K776" t="s">
        <v>1031</v>
      </c>
      <c r="L776" s="9" t="s">
        <v>1032</v>
      </c>
      <c r="M776" t="s">
        <v>42</v>
      </c>
      <c r="N776" s="12">
        <v>3821.8085853615357</v>
      </c>
      <c r="O776" s="13">
        <v>0.75400643555191016</v>
      </c>
      <c r="P776" s="9" t="s">
        <v>1039</v>
      </c>
      <c r="Q776">
        <v>800.81</v>
      </c>
      <c r="R776">
        <v>800.81</v>
      </c>
      <c r="S776" t="s">
        <v>39</v>
      </c>
      <c r="T776">
        <v>1246.8598041384639</v>
      </c>
      <c r="U776">
        <v>11773508.619999999</v>
      </c>
      <c r="V776">
        <v>18331332.840443697</v>
      </c>
      <c r="W776" t="s">
        <v>30</v>
      </c>
      <c r="X776" t="s">
        <v>1033</v>
      </c>
      <c r="Y776" t="s">
        <v>629</v>
      </c>
      <c r="Z776" t="b">
        <v>0</v>
      </c>
      <c r="AA776" t="s">
        <v>44</v>
      </c>
      <c r="AB776" t="s">
        <v>36</v>
      </c>
      <c r="AC776" t="s">
        <v>158</v>
      </c>
    </row>
    <row r="777" spans="2:29" x14ac:dyDescent="0.35">
      <c r="B777" t="s">
        <v>1039</v>
      </c>
      <c r="C777">
        <v>257.41000000000003</v>
      </c>
      <c r="D777" t="s">
        <v>29</v>
      </c>
      <c r="E777" s="10">
        <v>2391.535175125</v>
      </c>
      <c r="F777" t="s">
        <v>30</v>
      </c>
      <c r="G777" s="14">
        <v>46113</v>
      </c>
      <c r="H777">
        <v>246</v>
      </c>
      <c r="I777">
        <v>63322.860000000008</v>
      </c>
      <c r="J777">
        <v>131076.99093311999</v>
      </c>
      <c r="K777" t="s">
        <v>1031</v>
      </c>
      <c r="L777" s="9" t="s">
        <v>1032</v>
      </c>
      <c r="M777" t="s">
        <v>42</v>
      </c>
      <c r="N777" s="12">
        <v>2309.4969349930639</v>
      </c>
      <c r="O777" s="13">
        <v>0.9656964108304833</v>
      </c>
      <c r="P777" s="9" t="s">
        <v>1039</v>
      </c>
      <c r="Q777">
        <v>52.69</v>
      </c>
      <c r="R777">
        <v>52.69</v>
      </c>
      <c r="S777" t="s">
        <v>39</v>
      </c>
      <c r="T777">
        <v>82.038240131935993</v>
      </c>
      <c r="U777">
        <v>208020.12</v>
      </c>
      <c r="V777">
        <v>323886.97204088332</v>
      </c>
      <c r="W777" t="s">
        <v>30</v>
      </c>
      <c r="X777" t="s">
        <v>1033</v>
      </c>
      <c r="Y777" t="s">
        <v>629</v>
      </c>
      <c r="Z777" t="b">
        <v>0</v>
      </c>
      <c r="AA777" t="s">
        <v>44</v>
      </c>
      <c r="AB777" t="s">
        <v>36</v>
      </c>
      <c r="AC777" t="s">
        <v>158</v>
      </c>
    </row>
    <row r="778" spans="2:29" x14ac:dyDescent="0.35">
      <c r="B778" t="s">
        <v>1039</v>
      </c>
      <c r="C778">
        <v>722.37</v>
      </c>
      <c r="D778" t="s">
        <v>29</v>
      </c>
      <c r="E778" s="10">
        <v>6711.3681071249994</v>
      </c>
      <c r="F778" t="s">
        <v>30</v>
      </c>
      <c r="G778" s="14">
        <v>46113</v>
      </c>
      <c r="H778">
        <v>14605</v>
      </c>
      <c r="I778">
        <v>10550213.85</v>
      </c>
      <c r="J778">
        <v>98307.743199839999</v>
      </c>
      <c r="K778" t="s">
        <v>1031</v>
      </c>
      <c r="L778" s="9" t="s">
        <v>1032</v>
      </c>
      <c r="M778" t="s">
        <v>42</v>
      </c>
      <c r="N778" s="12">
        <v>5186.9266470609036</v>
      </c>
      <c r="O778" s="13">
        <v>0.77285682505692088</v>
      </c>
      <c r="P778" s="9" t="s">
        <v>1039</v>
      </c>
      <c r="Q778">
        <v>979.09</v>
      </c>
      <c r="R778">
        <v>979.09</v>
      </c>
      <c r="S778" t="s">
        <v>39</v>
      </c>
      <c r="T778">
        <v>1524.4414600640962</v>
      </c>
      <c r="U778">
        <v>4997275.3600000003</v>
      </c>
      <c r="V778">
        <v>7780749.2121671466</v>
      </c>
      <c r="W778" t="s">
        <v>30</v>
      </c>
      <c r="X778" t="s">
        <v>1033</v>
      </c>
      <c r="Y778" t="s">
        <v>629</v>
      </c>
      <c r="Z778" t="b">
        <v>0</v>
      </c>
      <c r="AA778" t="s">
        <v>44</v>
      </c>
      <c r="AB778" t="s">
        <v>36</v>
      </c>
      <c r="AC778" t="s">
        <v>158</v>
      </c>
    </row>
    <row r="779" spans="2:29" x14ac:dyDescent="0.35">
      <c r="B779" t="s">
        <v>1040</v>
      </c>
      <c r="C779">
        <v>1.99</v>
      </c>
      <c r="D779" t="s">
        <v>29</v>
      </c>
      <c r="E779" s="10">
        <v>18.488617375</v>
      </c>
      <c r="F779" t="s">
        <v>30</v>
      </c>
      <c r="G779" s="14">
        <v>46113</v>
      </c>
      <c r="H779">
        <v>1353</v>
      </c>
      <c r="I779">
        <v>2692.47</v>
      </c>
      <c r="J779">
        <v>145707.12119512499</v>
      </c>
      <c r="K779" t="s">
        <v>1031</v>
      </c>
      <c r="L779" s="9" t="s">
        <v>1032</v>
      </c>
      <c r="M779" t="s">
        <v>42</v>
      </c>
      <c r="N779" s="12">
        <v>153.51298420736802</v>
      </c>
      <c r="O779" s="13">
        <v>8.3031078578620878</v>
      </c>
      <c r="P779" s="9" t="s">
        <v>1040</v>
      </c>
      <c r="Q779">
        <v>110.47</v>
      </c>
      <c r="R779">
        <v>110.47</v>
      </c>
      <c r="S779" t="s">
        <v>39</v>
      </c>
      <c r="T779">
        <v>172.00160158236801</v>
      </c>
      <c r="U779">
        <v>439339.19</v>
      </c>
      <c r="V779">
        <v>684050.36949307763</v>
      </c>
      <c r="W779" t="s">
        <v>30</v>
      </c>
      <c r="X779" t="s">
        <v>1033</v>
      </c>
      <c r="Y779" t="s">
        <v>503</v>
      </c>
      <c r="Z779" t="b">
        <v>0</v>
      </c>
      <c r="AA779" t="s">
        <v>44</v>
      </c>
      <c r="AB779" t="s">
        <v>36</v>
      </c>
      <c r="AC779" t="s">
        <v>158</v>
      </c>
    </row>
    <row r="780" spans="2:29" x14ac:dyDescent="0.35">
      <c r="B780" t="s">
        <v>1040</v>
      </c>
      <c r="C780">
        <v>65.11</v>
      </c>
      <c r="D780" t="s">
        <v>29</v>
      </c>
      <c r="E780" s="10">
        <v>604.92154637499993</v>
      </c>
      <c r="F780" t="s">
        <v>30</v>
      </c>
      <c r="G780" s="14">
        <v>46113</v>
      </c>
      <c r="H780">
        <v>13197</v>
      </c>
      <c r="I780">
        <v>859256.67</v>
      </c>
      <c r="J780">
        <v>52597.459273799999</v>
      </c>
      <c r="K780" t="s">
        <v>1031</v>
      </c>
      <c r="L780" s="9" t="s">
        <v>1032</v>
      </c>
      <c r="M780" t="s">
        <v>42</v>
      </c>
      <c r="N780" s="12">
        <v>373.72286963954389</v>
      </c>
      <c r="O780" s="13">
        <v>0.61780386544186261</v>
      </c>
      <c r="P780" s="9" t="s">
        <v>1040</v>
      </c>
      <c r="Q780">
        <v>148.49</v>
      </c>
      <c r="R780">
        <v>148.49</v>
      </c>
      <c r="S780" t="s">
        <v>39</v>
      </c>
      <c r="T780">
        <v>231.19867673545602</v>
      </c>
      <c r="U780">
        <v>1872904.37</v>
      </c>
      <c r="V780">
        <v>2916108.9096643068</v>
      </c>
      <c r="W780" t="s">
        <v>30</v>
      </c>
      <c r="X780" t="s">
        <v>1033</v>
      </c>
      <c r="Y780" t="s">
        <v>503</v>
      </c>
      <c r="Z780" t="b">
        <v>0</v>
      </c>
      <c r="AA780" t="s">
        <v>44</v>
      </c>
      <c r="AB780" t="s">
        <v>36</v>
      </c>
      <c r="AC780" t="s">
        <v>158</v>
      </c>
    </row>
    <row r="781" spans="2:29" x14ac:dyDescent="0.35">
      <c r="B781" t="s">
        <v>1041</v>
      </c>
      <c r="C781">
        <v>248.76</v>
      </c>
      <c r="D781" t="s">
        <v>29</v>
      </c>
      <c r="E781" s="10">
        <v>2311.1700794999997</v>
      </c>
      <c r="F781" t="s">
        <v>30</v>
      </c>
      <c r="G781" s="14">
        <v>46113</v>
      </c>
      <c r="H781">
        <v>18773</v>
      </c>
      <c r="I781">
        <v>4669971.4799999995</v>
      </c>
      <c r="J781">
        <v>80001.102131774998</v>
      </c>
      <c r="K781" t="s">
        <v>1031</v>
      </c>
      <c r="L781" s="9" t="s">
        <v>1032</v>
      </c>
      <c r="M781" t="s">
        <v>42</v>
      </c>
      <c r="N781" s="12">
        <v>2025.6165923070398</v>
      </c>
      <c r="O781" s="13">
        <v>0.87644635514893099</v>
      </c>
      <c r="P781" s="9" t="s">
        <v>1041</v>
      </c>
      <c r="Q781">
        <v>183.4</v>
      </c>
      <c r="R781">
        <v>183.4</v>
      </c>
      <c r="S781" t="s">
        <v>39</v>
      </c>
      <c r="T781">
        <v>285.55348719296001</v>
      </c>
      <c r="U781">
        <v>1014385.4</v>
      </c>
      <c r="V781">
        <v>1579396.3376642617</v>
      </c>
      <c r="W781" t="s">
        <v>30</v>
      </c>
      <c r="X781" t="s">
        <v>1033</v>
      </c>
      <c r="Y781" t="s">
        <v>1042</v>
      </c>
      <c r="Z781" t="b">
        <v>0</v>
      </c>
      <c r="AA781" t="s">
        <v>44</v>
      </c>
      <c r="AB781" t="s">
        <v>36</v>
      </c>
      <c r="AC781" t="s">
        <v>158</v>
      </c>
    </row>
    <row r="782" spans="2:29" x14ac:dyDescent="0.35">
      <c r="B782" t="s">
        <v>1041</v>
      </c>
      <c r="C782">
        <v>77.819999999999993</v>
      </c>
      <c r="D782" t="s">
        <v>29</v>
      </c>
      <c r="E782" s="10">
        <v>723.00713774999986</v>
      </c>
      <c r="F782" t="s">
        <v>30</v>
      </c>
      <c r="G782" s="14">
        <v>46113</v>
      </c>
      <c r="H782">
        <v>7133</v>
      </c>
      <c r="I782">
        <v>555090.05999999994</v>
      </c>
      <c r="J782">
        <v>54752.053991039997</v>
      </c>
      <c r="K782" t="s">
        <v>1031</v>
      </c>
      <c r="L782" s="9" t="s">
        <v>1032</v>
      </c>
      <c r="M782" t="s">
        <v>42</v>
      </c>
      <c r="N782" s="12">
        <v>319.51221023140829</v>
      </c>
      <c r="O782" s="13">
        <v>0.44192123915364256</v>
      </c>
      <c r="P782" s="9" t="s">
        <v>1041</v>
      </c>
      <c r="Q782">
        <v>669.57</v>
      </c>
      <c r="R782">
        <v>669.57</v>
      </c>
      <c r="S782" t="s">
        <v>39</v>
      </c>
      <c r="T782">
        <v>1042.5193479814081</v>
      </c>
      <c r="U782">
        <v>11813893.08</v>
      </c>
      <c r="V782">
        <v>18394211.375783965</v>
      </c>
      <c r="W782" t="s">
        <v>30</v>
      </c>
      <c r="X782" t="s">
        <v>1033</v>
      </c>
      <c r="Y782" t="s">
        <v>1042</v>
      </c>
      <c r="Z782" t="b">
        <v>0</v>
      </c>
      <c r="AA782" t="s">
        <v>44</v>
      </c>
      <c r="AB782" t="s">
        <v>36</v>
      </c>
      <c r="AC782" t="s">
        <v>158</v>
      </c>
    </row>
    <row r="783" spans="2:29" x14ac:dyDescent="0.35">
      <c r="B783" t="s">
        <v>1043</v>
      </c>
      <c r="C783">
        <v>957.02</v>
      </c>
      <c r="D783" t="s">
        <v>29</v>
      </c>
      <c r="E783" s="10">
        <v>8891.4455277500001</v>
      </c>
      <c r="F783" t="s">
        <v>30</v>
      </c>
      <c r="G783" s="14">
        <v>46113</v>
      </c>
      <c r="H783">
        <v>7118</v>
      </c>
      <c r="I783">
        <v>6812068.3600000003</v>
      </c>
      <c r="J783">
        <v>614991.98966399999</v>
      </c>
      <c r="K783" t="s">
        <v>1031</v>
      </c>
      <c r="L783" s="9" t="s">
        <v>1032</v>
      </c>
      <c r="M783" t="s">
        <v>42</v>
      </c>
      <c r="N783" s="12">
        <v>7750.7885772725604</v>
      </c>
      <c r="O783" s="13">
        <v>0.8717129912208903</v>
      </c>
      <c r="P783" s="9" t="s">
        <v>1043</v>
      </c>
      <c r="Q783">
        <v>732.6</v>
      </c>
      <c r="R783">
        <v>732.6</v>
      </c>
      <c r="S783" t="s">
        <v>39</v>
      </c>
      <c r="T783">
        <v>1140.65695047744</v>
      </c>
      <c r="U783">
        <v>5659335</v>
      </c>
      <c r="V783">
        <v>8811574.9424382243</v>
      </c>
      <c r="W783" t="s">
        <v>30</v>
      </c>
      <c r="X783" t="s">
        <v>1033</v>
      </c>
      <c r="Y783" t="s">
        <v>634</v>
      </c>
      <c r="Z783" t="b">
        <v>0</v>
      </c>
      <c r="AA783" t="s">
        <v>44</v>
      </c>
      <c r="AB783" t="s">
        <v>36</v>
      </c>
      <c r="AC783" t="s">
        <v>158</v>
      </c>
    </row>
    <row r="784" spans="2:29" x14ac:dyDescent="0.35">
      <c r="B784" t="s">
        <v>1043</v>
      </c>
      <c r="C784">
        <v>911.36</v>
      </c>
      <c r="D784" t="s">
        <v>29</v>
      </c>
      <c r="E784" s="10">
        <v>8467.2293119999995</v>
      </c>
      <c r="F784" t="s">
        <v>30</v>
      </c>
      <c r="G784" s="14">
        <v>46113</v>
      </c>
      <c r="H784">
        <v>12362</v>
      </c>
      <c r="I784">
        <v>11266232.32</v>
      </c>
      <c r="J784">
        <v>141921.22838399999</v>
      </c>
      <c r="K784" t="s">
        <v>1031</v>
      </c>
      <c r="L784" s="9" t="s">
        <v>1032</v>
      </c>
      <c r="M784" t="s">
        <v>42</v>
      </c>
      <c r="N784" s="12">
        <v>7147.7666773936635</v>
      </c>
      <c r="O784" s="13">
        <v>0.84416831220853372</v>
      </c>
      <c r="P784" s="9" t="s">
        <v>1043</v>
      </c>
      <c r="Q784">
        <v>847.44</v>
      </c>
      <c r="R784">
        <v>847.44</v>
      </c>
      <c r="S784" t="s">
        <v>39</v>
      </c>
      <c r="T784">
        <v>1319.4626346063362</v>
      </c>
      <c r="U784">
        <v>6745622.4000000004</v>
      </c>
      <c r="V784">
        <v>10502922.571466437</v>
      </c>
      <c r="W784" t="s">
        <v>30</v>
      </c>
      <c r="X784" t="s">
        <v>1033</v>
      </c>
      <c r="Y784" t="s">
        <v>634</v>
      </c>
      <c r="Z784" t="b">
        <v>0</v>
      </c>
      <c r="AA784" t="s">
        <v>44</v>
      </c>
      <c r="AB784" t="s">
        <v>36</v>
      </c>
      <c r="AC784" t="s">
        <v>158</v>
      </c>
    </row>
    <row r="785" spans="2:29" x14ac:dyDescent="0.35">
      <c r="B785" t="s">
        <v>1043</v>
      </c>
      <c r="C785">
        <v>535.77</v>
      </c>
      <c r="D785" t="s">
        <v>29</v>
      </c>
      <c r="E785" s="10">
        <v>4977.7118246249993</v>
      </c>
      <c r="F785" t="s">
        <v>30</v>
      </c>
      <c r="G785" s="14">
        <v>46113</v>
      </c>
      <c r="H785">
        <v>17774</v>
      </c>
      <c r="I785">
        <v>9522775.9800000004</v>
      </c>
      <c r="J785">
        <v>473070.76127999998</v>
      </c>
      <c r="K785" t="s">
        <v>1031</v>
      </c>
      <c r="L785" s="9" t="s">
        <v>1032</v>
      </c>
      <c r="M785" t="s">
        <v>42</v>
      </c>
      <c r="N785" s="12">
        <v>4480.0951697347591</v>
      </c>
      <c r="O785" s="13">
        <v>0.90003104389681521</v>
      </c>
      <c r="P785" s="9" t="s">
        <v>1043</v>
      </c>
      <c r="Q785">
        <v>319.60000000000002</v>
      </c>
      <c r="R785">
        <v>319.60000000000002</v>
      </c>
      <c r="S785" t="s">
        <v>39</v>
      </c>
      <c r="T785">
        <v>497.61665489024006</v>
      </c>
      <c r="U785">
        <v>1006100.8</v>
      </c>
      <c r="V785">
        <v>1566497.2295944756</v>
      </c>
      <c r="W785" t="s">
        <v>30</v>
      </c>
      <c r="X785" t="s">
        <v>1033</v>
      </c>
      <c r="Y785" t="s">
        <v>634</v>
      </c>
      <c r="Z785" t="b">
        <v>0</v>
      </c>
      <c r="AA785" t="s">
        <v>44</v>
      </c>
      <c r="AB785" t="s">
        <v>36</v>
      </c>
      <c r="AC785" t="s">
        <v>158</v>
      </c>
    </row>
    <row r="786" spans="2:29" x14ac:dyDescent="0.35">
      <c r="B786" t="s">
        <v>1044</v>
      </c>
      <c r="C786">
        <v>64.19</v>
      </c>
      <c r="D786" t="s">
        <v>29</v>
      </c>
      <c r="E786" s="10">
        <v>596.37404487499998</v>
      </c>
      <c r="F786" t="s">
        <v>30</v>
      </c>
      <c r="G786" s="14">
        <v>46113</v>
      </c>
      <c r="H786">
        <v>9227</v>
      </c>
      <c r="I786">
        <v>592281.13</v>
      </c>
      <c r="J786">
        <v>247006.55309715</v>
      </c>
      <c r="K786" t="s">
        <v>1031</v>
      </c>
      <c r="L786" s="9" t="s">
        <v>1032</v>
      </c>
      <c r="M786" t="s">
        <v>42</v>
      </c>
      <c r="N786" s="12">
        <v>251.99716211960794</v>
      </c>
      <c r="O786" s="13">
        <v>0.42254884209863047</v>
      </c>
      <c r="P786" s="9" t="s">
        <v>1044</v>
      </c>
      <c r="Q786">
        <v>221.18</v>
      </c>
      <c r="R786">
        <v>221.18</v>
      </c>
      <c r="S786" t="s">
        <v>39</v>
      </c>
      <c r="T786">
        <v>344.37688275539205</v>
      </c>
      <c r="U786">
        <v>185127.66</v>
      </c>
      <c r="V786">
        <v>288243.45086626313</v>
      </c>
      <c r="W786" t="s">
        <v>30</v>
      </c>
      <c r="X786" t="s">
        <v>1033</v>
      </c>
      <c r="Y786" t="s">
        <v>1045</v>
      </c>
      <c r="Z786" t="b">
        <v>0</v>
      </c>
      <c r="AA786" t="s">
        <v>44</v>
      </c>
      <c r="AB786" t="s">
        <v>36</v>
      </c>
      <c r="AC786" t="s">
        <v>158</v>
      </c>
    </row>
    <row r="787" spans="2:29" x14ac:dyDescent="0.35">
      <c r="B787" t="s">
        <v>1044</v>
      </c>
      <c r="C787">
        <v>150.81</v>
      </c>
      <c r="D787" t="s">
        <v>29</v>
      </c>
      <c r="E787" s="10">
        <v>1401.1398926249999</v>
      </c>
      <c r="F787" t="s">
        <v>30</v>
      </c>
      <c r="G787" s="14">
        <v>46113</v>
      </c>
      <c r="H787">
        <v>1178</v>
      </c>
      <c r="I787">
        <v>177654.18</v>
      </c>
      <c r="J787">
        <v>247006.55309715</v>
      </c>
      <c r="K787" t="s">
        <v>1031</v>
      </c>
      <c r="L787" s="9" t="s">
        <v>1032</v>
      </c>
      <c r="M787" t="s">
        <v>42</v>
      </c>
      <c r="N787" s="12">
        <v>57.216814813639985</v>
      </c>
      <c r="O787" s="13">
        <v>4.0835904476637049E-2</v>
      </c>
      <c r="P787" s="9" t="s">
        <v>1044</v>
      </c>
      <c r="Q787">
        <v>863.15</v>
      </c>
      <c r="R787">
        <v>863.15</v>
      </c>
      <c r="S787" t="s">
        <v>39</v>
      </c>
      <c r="T787">
        <v>1343.9230778113599</v>
      </c>
      <c r="U787">
        <v>14212627.9</v>
      </c>
      <c r="V787">
        <v>22129037.399241854</v>
      </c>
      <c r="W787" t="s">
        <v>30</v>
      </c>
      <c r="X787" t="s">
        <v>1033</v>
      </c>
      <c r="Y787" t="s">
        <v>1045</v>
      </c>
      <c r="Z787" t="b">
        <v>0</v>
      </c>
      <c r="AA787" t="s">
        <v>44</v>
      </c>
      <c r="AB787" t="s">
        <v>36</v>
      </c>
      <c r="AC787" t="s">
        <v>158</v>
      </c>
    </row>
    <row r="788" spans="2:29" x14ac:dyDescent="0.35">
      <c r="B788" t="s">
        <v>1046</v>
      </c>
      <c r="C788">
        <v>440.9</v>
      </c>
      <c r="D788" t="s">
        <v>29</v>
      </c>
      <c r="E788" s="10">
        <v>4096.2971862499999</v>
      </c>
      <c r="F788" t="s">
        <v>30</v>
      </c>
      <c r="G788" s="14">
        <v>46113</v>
      </c>
      <c r="H788">
        <v>11395</v>
      </c>
      <c r="I788">
        <v>5024055.5</v>
      </c>
      <c r="J788">
        <v>213684.56445599999</v>
      </c>
      <c r="K788" t="s">
        <v>1031</v>
      </c>
      <c r="L788" s="9" t="s">
        <v>1032</v>
      </c>
      <c r="M788" t="s">
        <v>42</v>
      </c>
      <c r="N788" s="12">
        <v>2944.3519981381596</v>
      </c>
      <c r="O788" s="13">
        <v>0.71878378551767108</v>
      </c>
      <c r="P788" s="9" t="s">
        <v>1046</v>
      </c>
      <c r="Q788">
        <v>739.85</v>
      </c>
      <c r="R788">
        <v>739.85</v>
      </c>
      <c r="S788" t="s">
        <v>39</v>
      </c>
      <c r="T788">
        <v>1151.94518811184</v>
      </c>
      <c r="U788">
        <v>14734852.6</v>
      </c>
      <c r="V788">
        <v>22942140.366435405</v>
      </c>
      <c r="W788" t="s">
        <v>30</v>
      </c>
      <c r="X788" t="s">
        <v>1033</v>
      </c>
      <c r="Y788" t="s">
        <v>1047</v>
      </c>
      <c r="Z788" t="b">
        <v>0</v>
      </c>
      <c r="AA788" t="s">
        <v>44</v>
      </c>
      <c r="AB788" t="s">
        <v>36</v>
      </c>
      <c r="AC788" t="s">
        <v>158</v>
      </c>
    </row>
    <row r="789" spans="2:29" x14ac:dyDescent="0.35">
      <c r="B789" t="s">
        <v>1046</v>
      </c>
      <c r="C789">
        <v>992.17</v>
      </c>
      <c r="D789" t="s">
        <v>29</v>
      </c>
      <c r="E789" s="10">
        <v>9218.0158296249992</v>
      </c>
      <c r="F789" t="s">
        <v>30</v>
      </c>
      <c r="G789" s="14">
        <v>46113</v>
      </c>
      <c r="H789">
        <v>14681</v>
      </c>
      <c r="I789">
        <v>14566047.77</v>
      </c>
      <c r="J789">
        <v>213684.56445599999</v>
      </c>
      <c r="K789" t="s">
        <v>1031</v>
      </c>
      <c r="L789" s="9" t="s">
        <v>1032</v>
      </c>
      <c r="M789" t="s">
        <v>42</v>
      </c>
      <c r="N789" s="12">
        <v>7791.5251322616077</v>
      </c>
      <c r="O789" s="13">
        <v>0.84524970191753046</v>
      </c>
      <c r="P789" s="9" t="s">
        <v>1046</v>
      </c>
      <c r="Q789">
        <v>916.18</v>
      </c>
      <c r="R789">
        <v>916.18</v>
      </c>
      <c r="S789" t="s">
        <v>39</v>
      </c>
      <c r="T789">
        <v>1426.490697363392</v>
      </c>
      <c r="U789">
        <v>1806706.96</v>
      </c>
      <c r="V789">
        <v>2813039.655200609</v>
      </c>
      <c r="W789" t="s">
        <v>30</v>
      </c>
      <c r="X789" t="s">
        <v>1033</v>
      </c>
      <c r="Y789" t="s">
        <v>1047</v>
      </c>
      <c r="Z789" t="b">
        <v>0</v>
      </c>
      <c r="AA789" t="s">
        <v>44</v>
      </c>
      <c r="AB789" t="s">
        <v>36</v>
      </c>
      <c r="AC789" t="s">
        <v>158</v>
      </c>
    </row>
    <row r="790" spans="2:29" x14ac:dyDescent="0.35">
      <c r="B790" t="s">
        <v>1046</v>
      </c>
      <c r="C790">
        <v>374.56</v>
      </c>
      <c r="D790" t="s">
        <v>29</v>
      </c>
      <c r="E790" s="10">
        <v>3479.9480020000001</v>
      </c>
      <c r="F790" t="s">
        <v>30</v>
      </c>
      <c r="G790" s="14">
        <v>46113</v>
      </c>
      <c r="H790">
        <v>10020</v>
      </c>
      <c r="I790">
        <v>3753091.2</v>
      </c>
      <c r="J790">
        <v>219247.4270844</v>
      </c>
      <c r="K790" t="s">
        <v>1031</v>
      </c>
      <c r="L790" s="9" t="s">
        <v>1032</v>
      </c>
      <c r="M790" t="s">
        <v>42</v>
      </c>
      <c r="N790" s="12">
        <v>2932.5074016889603</v>
      </c>
      <c r="O790" s="13">
        <v>0.84268713210760215</v>
      </c>
      <c r="P790" s="9" t="s">
        <v>1046</v>
      </c>
      <c r="Q790">
        <v>351.6</v>
      </c>
      <c r="R790">
        <v>351.6</v>
      </c>
      <c r="S790" t="s">
        <v>39</v>
      </c>
      <c r="T790">
        <v>547.44060031104004</v>
      </c>
      <c r="U790">
        <v>5342562</v>
      </c>
      <c r="V790">
        <v>8318359.9217262538</v>
      </c>
      <c r="W790" t="s">
        <v>30</v>
      </c>
      <c r="X790" t="s">
        <v>1033</v>
      </c>
      <c r="Y790" t="s">
        <v>1047</v>
      </c>
      <c r="Z790" t="b">
        <v>0</v>
      </c>
      <c r="AA790" t="s">
        <v>44</v>
      </c>
      <c r="AB790" t="s">
        <v>36</v>
      </c>
      <c r="AC790" t="s">
        <v>158</v>
      </c>
    </row>
    <row r="791" spans="2:29" x14ac:dyDescent="0.35">
      <c r="B791" t="s">
        <v>1048</v>
      </c>
      <c r="C791">
        <v>351.68</v>
      </c>
      <c r="D791" t="s">
        <v>29</v>
      </c>
      <c r="E791" s="10">
        <v>3267.375356</v>
      </c>
      <c r="F791" t="s">
        <v>30</v>
      </c>
      <c r="G791" s="14">
        <v>46113</v>
      </c>
      <c r="H791">
        <v>14334</v>
      </c>
      <c r="I791">
        <v>5040981.12</v>
      </c>
      <c r="J791">
        <v>142978.8144609</v>
      </c>
      <c r="K791" t="s">
        <v>1031</v>
      </c>
      <c r="L791" s="9" t="s">
        <v>1032</v>
      </c>
      <c r="M791" t="s">
        <v>42</v>
      </c>
      <c r="N791" s="12">
        <v>2252.0411982388159</v>
      </c>
      <c r="O791" s="13">
        <v>0.68925083679269072</v>
      </c>
      <c r="P791" s="9" t="s">
        <v>1048</v>
      </c>
      <c r="Q791">
        <v>652.11</v>
      </c>
      <c r="R791">
        <v>652.11</v>
      </c>
      <c r="S791" t="s">
        <v>39</v>
      </c>
      <c r="T791">
        <v>1015.3341577611841</v>
      </c>
      <c r="U791">
        <v>172809.15</v>
      </c>
      <c r="V791">
        <v>269063.5518067138</v>
      </c>
      <c r="W791" t="s">
        <v>30</v>
      </c>
      <c r="X791" t="s">
        <v>1033</v>
      </c>
      <c r="Y791" t="s">
        <v>1049</v>
      </c>
      <c r="Z791" t="b">
        <v>0</v>
      </c>
      <c r="AA791" t="s">
        <v>44</v>
      </c>
      <c r="AB791" t="s">
        <v>36</v>
      </c>
      <c r="AC791" t="s">
        <v>158</v>
      </c>
    </row>
    <row r="792" spans="2:29" x14ac:dyDescent="0.35">
      <c r="B792" t="s">
        <v>1048</v>
      </c>
      <c r="C792">
        <v>747.27</v>
      </c>
      <c r="D792" t="s">
        <v>29</v>
      </c>
      <c r="E792" s="10">
        <v>6942.7080933749994</v>
      </c>
      <c r="F792" t="s">
        <v>30</v>
      </c>
      <c r="G792" s="14">
        <v>46113</v>
      </c>
      <c r="H792">
        <v>18839</v>
      </c>
      <c r="I792">
        <v>14077819.529999999</v>
      </c>
      <c r="J792">
        <v>155976.88850279999</v>
      </c>
      <c r="K792" t="s">
        <v>1031</v>
      </c>
      <c r="L792" s="9" t="s">
        <v>1032</v>
      </c>
      <c r="M792" t="s">
        <v>42</v>
      </c>
      <c r="N792" s="12">
        <v>5890.8778955930793</v>
      </c>
      <c r="O792" s="13">
        <v>0.84849857092715486</v>
      </c>
      <c r="P792" s="9" t="s">
        <v>1048</v>
      </c>
      <c r="Q792">
        <v>675.55</v>
      </c>
      <c r="R792">
        <v>675.55</v>
      </c>
      <c r="S792" t="s">
        <v>39</v>
      </c>
      <c r="T792">
        <v>1051.8301977819199</v>
      </c>
      <c r="U792">
        <v>10373745.799999999</v>
      </c>
      <c r="V792">
        <v>16151904.517139161</v>
      </c>
      <c r="W792" t="s">
        <v>30</v>
      </c>
      <c r="X792" t="s">
        <v>1033</v>
      </c>
      <c r="Y792" t="s">
        <v>1049</v>
      </c>
      <c r="Z792" t="b">
        <v>0</v>
      </c>
      <c r="AA792" t="s">
        <v>44</v>
      </c>
      <c r="AB792" t="s">
        <v>36</v>
      </c>
      <c r="AC792" t="s">
        <v>158</v>
      </c>
    </row>
    <row r="793" spans="2:29" x14ac:dyDescent="0.35">
      <c r="B793" t="s">
        <v>1048</v>
      </c>
      <c r="C793">
        <v>800.67</v>
      </c>
      <c r="D793" t="s">
        <v>29</v>
      </c>
      <c r="E793" s="10">
        <v>7438.8348108749997</v>
      </c>
      <c r="F793" t="s">
        <v>30</v>
      </c>
      <c r="G793" s="14">
        <v>46113</v>
      </c>
      <c r="H793">
        <v>13230</v>
      </c>
      <c r="I793">
        <v>10592864.1</v>
      </c>
      <c r="J793">
        <v>84487.481272350007</v>
      </c>
      <c r="K793" t="s">
        <v>1031</v>
      </c>
      <c r="L793" s="9" t="s">
        <v>1032</v>
      </c>
      <c r="M793" t="s">
        <v>42</v>
      </c>
      <c r="N793" s="12">
        <v>7155.5078312430314</v>
      </c>
      <c r="O793" s="13">
        <v>0.9619124517703006</v>
      </c>
      <c r="P793" s="9" t="s">
        <v>1048</v>
      </c>
      <c r="Q793">
        <v>181.97</v>
      </c>
      <c r="R793">
        <v>181.97</v>
      </c>
      <c r="S793" t="s">
        <v>39</v>
      </c>
      <c r="T793">
        <v>283.32697963196802</v>
      </c>
      <c r="U793">
        <v>1119843.3799999999</v>
      </c>
      <c r="V793">
        <v>1743594.2326551313</v>
      </c>
      <c r="W793" t="s">
        <v>30</v>
      </c>
      <c r="X793" t="s">
        <v>1033</v>
      </c>
      <c r="Y793" t="s">
        <v>1049</v>
      </c>
      <c r="Z793" t="b">
        <v>0</v>
      </c>
      <c r="AA793" t="s">
        <v>44</v>
      </c>
      <c r="AB793" t="s">
        <v>36</v>
      </c>
      <c r="AC793" t="s">
        <v>158</v>
      </c>
    </row>
    <row r="794" spans="2:29" x14ac:dyDescent="0.35">
      <c r="B794" t="s">
        <v>1050</v>
      </c>
      <c r="C794">
        <v>478.16</v>
      </c>
      <c r="D794" t="s">
        <v>575</v>
      </c>
      <c r="E794" s="10">
        <v>636.64421935999997</v>
      </c>
      <c r="F794" t="s">
        <v>30</v>
      </c>
      <c r="G794" s="14">
        <v>46113</v>
      </c>
      <c r="H794">
        <v>17660</v>
      </c>
      <c r="I794">
        <v>8444305.5999999996</v>
      </c>
      <c r="J794">
        <v>38045.949619860003</v>
      </c>
      <c r="K794" t="s">
        <v>1051</v>
      </c>
      <c r="L794" s="9" t="s">
        <v>1052</v>
      </c>
      <c r="M794" t="s">
        <v>50</v>
      </c>
      <c r="N794" s="12">
        <v>523.58419967804809</v>
      </c>
      <c r="O794" s="13">
        <v>0.82241255595533747</v>
      </c>
      <c r="P794" s="9" t="s">
        <v>1050</v>
      </c>
      <c r="Q794">
        <v>745.17</v>
      </c>
      <c r="R794">
        <v>745.17</v>
      </c>
      <c r="S794" t="s">
        <v>39</v>
      </c>
      <c r="T794">
        <v>1160.2284190380481</v>
      </c>
      <c r="U794">
        <v>7609676.04</v>
      </c>
      <c r="V794">
        <v>11848252.615216548</v>
      </c>
      <c r="W794" t="s">
        <v>30</v>
      </c>
      <c r="X794" t="s">
        <v>1053</v>
      </c>
      <c r="Y794" t="s">
        <v>1054</v>
      </c>
      <c r="Z794" t="b">
        <v>0</v>
      </c>
      <c r="AA794" t="s">
        <v>44</v>
      </c>
      <c r="AB794" t="s">
        <v>36</v>
      </c>
      <c r="AC794" t="s">
        <v>273</v>
      </c>
    </row>
    <row r="795" spans="2:29" x14ac:dyDescent="0.35">
      <c r="B795" t="s">
        <v>1055</v>
      </c>
      <c r="C795">
        <v>331.89</v>
      </c>
      <c r="D795" t="s">
        <v>39</v>
      </c>
      <c r="E795" s="10">
        <v>516.75216392841594</v>
      </c>
      <c r="F795" t="s">
        <v>30</v>
      </c>
      <c r="G795" s="14">
        <v>46113</v>
      </c>
      <c r="H795">
        <v>4966</v>
      </c>
      <c r="I795">
        <v>1648165.74</v>
      </c>
      <c r="J795">
        <v>8842.5047135564801</v>
      </c>
      <c r="K795" t="s">
        <v>275</v>
      </c>
      <c r="L795" s="9" t="s">
        <v>276</v>
      </c>
      <c r="M795" t="s">
        <v>50</v>
      </c>
      <c r="N795" s="12">
        <v>254.1644015778561</v>
      </c>
      <c r="O795" s="13">
        <v>0.49184970924101384</v>
      </c>
      <c r="P795" s="9" t="s">
        <v>1055</v>
      </c>
      <c r="Q795">
        <v>495.13</v>
      </c>
      <c r="R795">
        <v>495.13</v>
      </c>
      <c r="S795" t="s">
        <v>39</v>
      </c>
      <c r="T795">
        <v>770.91656550627204</v>
      </c>
      <c r="U795">
        <v>2872744.26</v>
      </c>
      <c r="V795">
        <v>4472857.9130673902</v>
      </c>
      <c r="W795" t="s">
        <v>30</v>
      </c>
      <c r="X795" t="s">
        <v>277</v>
      </c>
      <c r="Y795" t="s">
        <v>1056</v>
      </c>
      <c r="Z795" t="b">
        <v>0</v>
      </c>
      <c r="AA795" t="s">
        <v>44</v>
      </c>
      <c r="AB795" t="s">
        <v>45</v>
      </c>
      <c r="AC795" t="s">
        <v>610</v>
      </c>
    </row>
    <row r="796" spans="2:29" x14ac:dyDescent="0.35">
      <c r="B796" t="s">
        <v>1057</v>
      </c>
      <c r="C796">
        <v>981.63</v>
      </c>
      <c r="D796" t="s">
        <v>29</v>
      </c>
      <c r="E796" s="10">
        <v>9120.0911928749993</v>
      </c>
      <c r="F796" t="s">
        <v>30</v>
      </c>
      <c r="G796" s="14">
        <v>46113</v>
      </c>
      <c r="H796">
        <v>4917</v>
      </c>
      <c r="I796">
        <v>4826674.71</v>
      </c>
      <c r="J796">
        <v>58866.271200000003</v>
      </c>
      <c r="K796" t="s">
        <v>1058</v>
      </c>
      <c r="L796" s="9" t="s">
        <v>1059</v>
      </c>
      <c r="M796" t="s">
        <v>50</v>
      </c>
      <c r="N796" s="12">
        <v>8681.0955237689195</v>
      </c>
      <c r="O796" s="13">
        <v>0.95186499127892032</v>
      </c>
      <c r="P796" s="9" t="s">
        <v>1057</v>
      </c>
      <c r="Q796">
        <v>281.95</v>
      </c>
      <c r="R796">
        <v>281.95</v>
      </c>
      <c r="S796" t="s">
        <v>39</v>
      </c>
      <c r="T796">
        <v>438.99566910608002</v>
      </c>
      <c r="U796">
        <v>2251088.7999999998</v>
      </c>
      <c r="V796">
        <v>3504941.4221429429</v>
      </c>
      <c r="W796" t="s">
        <v>30</v>
      </c>
      <c r="X796" t="s">
        <v>1060</v>
      </c>
      <c r="Y796" t="s">
        <v>1061</v>
      </c>
      <c r="Z796" t="b">
        <v>0</v>
      </c>
      <c r="AA796" t="s">
        <v>35</v>
      </c>
      <c r="AB796" t="s">
        <v>36</v>
      </c>
      <c r="AC796" t="s">
        <v>423</v>
      </c>
    </row>
    <row r="797" spans="2:29" x14ac:dyDescent="0.35">
      <c r="B797" t="s">
        <v>1062</v>
      </c>
      <c r="C797">
        <v>253.06</v>
      </c>
      <c r="D797" t="s">
        <v>575</v>
      </c>
      <c r="E797" s="10">
        <v>336.93572475999997</v>
      </c>
      <c r="F797" t="s">
        <v>30</v>
      </c>
      <c r="G797" s="14">
        <v>46113</v>
      </c>
      <c r="H797">
        <v>12405</v>
      </c>
      <c r="I797">
        <v>3139209.3</v>
      </c>
      <c r="J797">
        <v>36217.461513599999</v>
      </c>
      <c r="K797" t="s">
        <v>1063</v>
      </c>
      <c r="L797" s="9" t="s">
        <v>1064</v>
      </c>
      <c r="M797" t="s">
        <v>50</v>
      </c>
      <c r="N797" s="12">
        <v>98.805817910784072</v>
      </c>
      <c r="O797" s="13">
        <v>0.29324826858643044</v>
      </c>
      <c r="P797" s="9" t="s">
        <v>1062</v>
      </c>
      <c r="Q797">
        <v>279.86</v>
      </c>
      <c r="R797">
        <v>279.86</v>
      </c>
      <c r="S797" t="s">
        <v>39</v>
      </c>
      <c r="T797">
        <v>435.74154267078404</v>
      </c>
      <c r="U797">
        <v>2268265.3000000003</v>
      </c>
      <c r="V797">
        <v>3531685.2033467046</v>
      </c>
      <c r="W797" t="s">
        <v>30</v>
      </c>
      <c r="X797" t="s">
        <v>1065</v>
      </c>
      <c r="Y797" t="s">
        <v>1010</v>
      </c>
      <c r="Z797" t="b">
        <v>0</v>
      </c>
      <c r="AA797" t="s">
        <v>44</v>
      </c>
      <c r="AB797" t="s">
        <v>36</v>
      </c>
      <c r="AC797" t="s">
        <v>273</v>
      </c>
    </row>
    <row r="798" spans="2:29" x14ac:dyDescent="0.35">
      <c r="B798" t="s">
        <v>1062</v>
      </c>
      <c r="C798">
        <v>485.39</v>
      </c>
      <c r="D798" t="s">
        <v>575</v>
      </c>
      <c r="E798" s="10">
        <v>646.27057393999996</v>
      </c>
      <c r="F798" t="s">
        <v>30</v>
      </c>
      <c r="G798" s="14">
        <v>46113</v>
      </c>
      <c r="H798">
        <v>7781</v>
      </c>
      <c r="I798">
        <v>3776819.59</v>
      </c>
      <c r="J798">
        <v>27163.096135200001</v>
      </c>
      <c r="K798" t="s">
        <v>1063</v>
      </c>
      <c r="L798" s="9" t="s">
        <v>1064</v>
      </c>
      <c r="M798" t="s">
        <v>50</v>
      </c>
      <c r="N798" s="12">
        <v>362.15051139404795</v>
      </c>
      <c r="O798" s="13">
        <v>0.56036979865289394</v>
      </c>
      <c r="P798" s="9" t="s">
        <v>1062</v>
      </c>
      <c r="Q798">
        <v>647.66999999999996</v>
      </c>
      <c r="R798">
        <v>647.66999999999996</v>
      </c>
      <c r="S798" t="s">
        <v>39</v>
      </c>
      <c r="T798">
        <v>1008.4210853340479</v>
      </c>
      <c r="U798">
        <v>147021.09</v>
      </c>
      <c r="V798">
        <v>228911.58637082888</v>
      </c>
      <c r="W798" t="s">
        <v>30</v>
      </c>
      <c r="X798" t="s">
        <v>1065</v>
      </c>
      <c r="Y798" t="s">
        <v>1010</v>
      </c>
      <c r="Z798" t="b">
        <v>0</v>
      </c>
      <c r="AA798" t="s">
        <v>44</v>
      </c>
      <c r="AB798" t="s">
        <v>36</v>
      </c>
      <c r="AC798" t="s">
        <v>273</v>
      </c>
    </row>
    <row r="799" spans="2:29" x14ac:dyDescent="0.35">
      <c r="B799" t="s">
        <v>1066</v>
      </c>
      <c r="C799">
        <v>478.18</v>
      </c>
      <c r="D799" t="s">
        <v>575</v>
      </c>
      <c r="E799" s="10">
        <v>636.67084827999997</v>
      </c>
      <c r="F799" t="s">
        <v>30</v>
      </c>
      <c r="G799" s="14">
        <v>46113</v>
      </c>
      <c r="H799">
        <v>13076</v>
      </c>
      <c r="I799">
        <v>6252681.6799999997</v>
      </c>
      <c r="J799">
        <v>37566.748890000003</v>
      </c>
      <c r="K799" t="s">
        <v>1063</v>
      </c>
      <c r="L799" s="9" t="s">
        <v>1064</v>
      </c>
      <c r="M799" t="s">
        <v>50</v>
      </c>
      <c r="N799" s="12">
        <v>838.74073549344007</v>
      </c>
      <c r="O799" s="13">
        <v>1.3173851728241408</v>
      </c>
      <c r="P799" s="9" t="s">
        <v>1066</v>
      </c>
      <c r="Q799">
        <v>947.6</v>
      </c>
      <c r="R799">
        <v>947.6</v>
      </c>
      <c r="S799" t="s">
        <v>39</v>
      </c>
      <c r="T799">
        <v>1475.41158377344</v>
      </c>
      <c r="U799">
        <v>2066715.6</v>
      </c>
      <c r="V799">
        <v>3217872.6642098729</v>
      </c>
      <c r="W799" t="s">
        <v>30</v>
      </c>
      <c r="X799" t="s">
        <v>1065</v>
      </c>
      <c r="Y799" t="s">
        <v>1010</v>
      </c>
      <c r="Z799" t="b">
        <v>0</v>
      </c>
      <c r="AA799" t="s">
        <v>44</v>
      </c>
      <c r="AB799" t="s">
        <v>36</v>
      </c>
      <c r="AC799" t="s">
        <v>273</v>
      </c>
    </row>
    <row r="800" spans="2:29" x14ac:dyDescent="0.35">
      <c r="B800" t="s">
        <v>1066</v>
      </c>
      <c r="C800">
        <v>615.33000000000004</v>
      </c>
      <c r="D800" t="s">
        <v>575</v>
      </c>
      <c r="E800" s="10">
        <v>819.27866717999996</v>
      </c>
      <c r="F800" t="s">
        <v>30</v>
      </c>
      <c r="G800" s="14">
        <v>46113</v>
      </c>
      <c r="H800">
        <v>18810</v>
      </c>
      <c r="I800">
        <v>11574357.300000001</v>
      </c>
      <c r="J800">
        <v>25044.499260000001</v>
      </c>
      <c r="K800" t="s">
        <v>1063</v>
      </c>
      <c r="L800" s="9" t="s">
        <v>1064</v>
      </c>
      <c r="M800" t="s">
        <v>50</v>
      </c>
      <c r="N800" s="12">
        <v>139.60220172556797</v>
      </c>
      <c r="O800" s="13">
        <v>0.17039648085319498</v>
      </c>
      <c r="P800" s="9" t="s">
        <v>1066</v>
      </c>
      <c r="Q800">
        <v>436.53</v>
      </c>
      <c r="R800">
        <v>436.53</v>
      </c>
      <c r="S800" t="s">
        <v>39</v>
      </c>
      <c r="T800">
        <v>679.67646545443199</v>
      </c>
      <c r="U800">
        <v>7376047.4099999992</v>
      </c>
      <c r="V800">
        <v>11484493.236783538</v>
      </c>
      <c r="W800" t="s">
        <v>30</v>
      </c>
      <c r="X800" t="s">
        <v>1065</v>
      </c>
      <c r="Y800" t="s">
        <v>1010</v>
      </c>
      <c r="Z800" t="b">
        <v>0</v>
      </c>
      <c r="AA800" t="s">
        <v>44</v>
      </c>
      <c r="AB800" t="s">
        <v>36</v>
      </c>
      <c r="AC800" t="s">
        <v>273</v>
      </c>
    </row>
    <row r="801" spans="2:29" x14ac:dyDescent="0.35">
      <c r="B801" t="s">
        <v>1067</v>
      </c>
      <c r="C801">
        <v>807.25</v>
      </c>
      <c r="D801" t="s">
        <v>29</v>
      </c>
      <c r="E801" s="10">
        <v>7499.9680281249994</v>
      </c>
      <c r="F801" t="s">
        <v>30</v>
      </c>
      <c r="G801" s="14">
        <v>46113</v>
      </c>
      <c r="H801">
        <v>3018</v>
      </c>
      <c r="I801">
        <v>2436280.5</v>
      </c>
      <c r="J801">
        <v>57946.485712499998</v>
      </c>
      <c r="K801" t="s">
        <v>1068</v>
      </c>
      <c r="L801" s="9" t="s">
        <v>1069</v>
      </c>
      <c r="M801" t="s">
        <v>50</v>
      </c>
      <c r="N801" s="12">
        <v>7038.209043954791</v>
      </c>
      <c r="O801" s="13">
        <v>0.93843187298417741</v>
      </c>
      <c r="P801" s="9" t="s">
        <v>1067</v>
      </c>
      <c r="Q801">
        <v>296.57</v>
      </c>
      <c r="R801">
        <v>296.57</v>
      </c>
      <c r="S801" t="s">
        <v>39</v>
      </c>
      <c r="T801">
        <v>461.75898417020801</v>
      </c>
      <c r="U801">
        <v>5045841.9799999995</v>
      </c>
      <c r="V801">
        <v>7856367.3566719191</v>
      </c>
      <c r="W801" t="s">
        <v>30</v>
      </c>
      <c r="X801" t="s">
        <v>1070</v>
      </c>
      <c r="Y801" t="s">
        <v>716</v>
      </c>
      <c r="Z801" t="b">
        <v>0</v>
      </c>
      <c r="AA801" t="s">
        <v>35</v>
      </c>
      <c r="AB801" t="s">
        <v>36</v>
      </c>
      <c r="AC801" t="s">
        <v>388</v>
      </c>
    </row>
    <row r="802" spans="2:29" x14ac:dyDescent="0.35">
      <c r="B802" t="s">
        <v>1067</v>
      </c>
      <c r="C802">
        <v>284.83999999999997</v>
      </c>
      <c r="D802" t="s">
        <v>29</v>
      </c>
      <c r="E802" s="10">
        <v>2646.3807904999999</v>
      </c>
      <c r="F802" t="s">
        <v>30</v>
      </c>
      <c r="G802" s="14">
        <v>46113</v>
      </c>
      <c r="H802">
        <v>2504</v>
      </c>
      <c r="I802">
        <v>713239.36</v>
      </c>
      <c r="J802">
        <v>57946.485712499998</v>
      </c>
      <c r="K802" t="s">
        <v>1068</v>
      </c>
      <c r="L802" s="9" t="s">
        <v>1069</v>
      </c>
      <c r="M802" t="s">
        <v>50</v>
      </c>
      <c r="N802" s="12">
        <v>1439.8628121694398</v>
      </c>
      <c r="O802" s="13">
        <v>0.54408753923028441</v>
      </c>
      <c r="P802" s="9" t="s">
        <v>1067</v>
      </c>
      <c r="Q802">
        <v>774.9</v>
      </c>
      <c r="R802">
        <v>774.9</v>
      </c>
      <c r="S802" t="s">
        <v>39</v>
      </c>
      <c r="T802">
        <v>1206.51797833056</v>
      </c>
      <c r="U802">
        <v>5478543</v>
      </c>
      <c r="V802">
        <v>8530082.10679706</v>
      </c>
      <c r="W802" t="s">
        <v>30</v>
      </c>
      <c r="X802" t="s">
        <v>1070</v>
      </c>
      <c r="Y802" t="s">
        <v>716</v>
      </c>
      <c r="Z802" t="b">
        <v>0</v>
      </c>
      <c r="AA802" t="s">
        <v>35</v>
      </c>
      <c r="AB802" t="s">
        <v>36</v>
      </c>
      <c r="AC802" t="s">
        <v>388</v>
      </c>
    </row>
    <row r="803" spans="2:29" x14ac:dyDescent="0.35">
      <c r="B803" t="s">
        <v>1071</v>
      </c>
      <c r="C803">
        <v>786.68</v>
      </c>
      <c r="D803" t="s">
        <v>29</v>
      </c>
      <c r="E803" s="10">
        <v>7308.8570434999992</v>
      </c>
      <c r="F803" t="s">
        <v>30</v>
      </c>
      <c r="G803" s="14">
        <v>46113</v>
      </c>
      <c r="H803">
        <v>11349</v>
      </c>
      <c r="I803">
        <v>8928031.3200000003</v>
      </c>
      <c r="J803">
        <v>93650.885999999999</v>
      </c>
      <c r="K803" t="s">
        <v>1068</v>
      </c>
      <c r="L803" s="9" t="s">
        <v>1069</v>
      </c>
      <c r="M803" t="s">
        <v>50</v>
      </c>
      <c r="N803" s="12">
        <v>5810.1839052082232</v>
      </c>
      <c r="O803" s="13">
        <v>0.79495109435413103</v>
      </c>
      <c r="P803" s="9" t="s">
        <v>1071</v>
      </c>
      <c r="Q803">
        <v>962.54</v>
      </c>
      <c r="R803">
        <v>962.54</v>
      </c>
      <c r="S803" t="s">
        <v>39</v>
      </c>
      <c r="T803">
        <v>1498.673138291776</v>
      </c>
      <c r="U803">
        <v>10831462.619999999</v>
      </c>
      <c r="V803">
        <v>16864568.825197354</v>
      </c>
      <c r="W803" t="s">
        <v>30</v>
      </c>
      <c r="X803" t="s">
        <v>1070</v>
      </c>
      <c r="Y803" t="s">
        <v>1072</v>
      </c>
      <c r="Z803" t="b">
        <v>0</v>
      </c>
      <c r="AA803" t="s">
        <v>35</v>
      </c>
      <c r="AB803" t="s">
        <v>36</v>
      </c>
      <c r="AC803" t="s">
        <v>388</v>
      </c>
    </row>
    <row r="804" spans="2:29" x14ac:dyDescent="0.35">
      <c r="B804" t="s">
        <v>1071</v>
      </c>
      <c r="C804">
        <v>204</v>
      </c>
      <c r="D804" t="s">
        <v>29</v>
      </c>
      <c r="E804" s="10">
        <v>1895.3155499999998</v>
      </c>
      <c r="F804" t="s">
        <v>30</v>
      </c>
      <c r="G804" s="14">
        <v>46113</v>
      </c>
      <c r="H804">
        <v>3578</v>
      </c>
      <c r="I804">
        <v>729912</v>
      </c>
      <c r="J804">
        <v>93650.885999999999</v>
      </c>
      <c r="K804" t="s">
        <v>1068</v>
      </c>
      <c r="L804" s="9" t="s">
        <v>1069</v>
      </c>
      <c r="M804" t="s">
        <v>50</v>
      </c>
      <c r="N804" s="12">
        <v>1401.5758208628158</v>
      </c>
      <c r="O804" s="13">
        <v>0.73949470886935742</v>
      </c>
      <c r="P804" s="9" t="s">
        <v>1071</v>
      </c>
      <c r="Q804">
        <v>317.11</v>
      </c>
      <c r="R804">
        <v>317.11</v>
      </c>
      <c r="S804" t="s">
        <v>39</v>
      </c>
      <c r="T804">
        <v>493.73972913718404</v>
      </c>
      <c r="U804">
        <v>3030303.16</v>
      </c>
      <c r="V804">
        <v>4718176.8516349308</v>
      </c>
      <c r="W804" t="s">
        <v>30</v>
      </c>
      <c r="X804" t="s">
        <v>1070</v>
      </c>
      <c r="Y804" t="s">
        <v>1072</v>
      </c>
      <c r="Z804" t="b">
        <v>0</v>
      </c>
      <c r="AA804" t="s">
        <v>35</v>
      </c>
      <c r="AB804" t="s">
        <v>36</v>
      </c>
      <c r="AC804" t="s">
        <v>388</v>
      </c>
    </row>
    <row r="805" spans="2:29" x14ac:dyDescent="0.35">
      <c r="B805" t="s">
        <v>1073</v>
      </c>
      <c r="C805">
        <v>51.14</v>
      </c>
      <c r="D805" t="s">
        <v>575</v>
      </c>
      <c r="E805" s="10">
        <v>68.090148439999993</v>
      </c>
      <c r="F805" t="s">
        <v>30</v>
      </c>
      <c r="G805" s="14">
        <v>46113</v>
      </c>
      <c r="H805">
        <v>16427</v>
      </c>
      <c r="I805">
        <v>840076.78</v>
      </c>
      <c r="J805">
        <v>76555.929473855998</v>
      </c>
      <c r="K805" t="s">
        <v>1074</v>
      </c>
      <c r="L805" s="9" t="s">
        <v>1075</v>
      </c>
      <c r="M805" t="s">
        <v>50</v>
      </c>
      <c r="N805" s="12">
        <v>88.310330232480013</v>
      </c>
      <c r="O805" s="13">
        <v>1.2969619284983309</v>
      </c>
      <c r="P805" s="9" t="s">
        <v>1073</v>
      </c>
      <c r="Q805">
        <v>100.45</v>
      </c>
      <c r="R805">
        <v>100.45</v>
      </c>
      <c r="S805" t="s">
        <v>39</v>
      </c>
      <c r="T805">
        <v>156.40047867248001</v>
      </c>
      <c r="U805">
        <v>563122.70000000007</v>
      </c>
      <c r="V805">
        <v>876781.08343792288</v>
      </c>
      <c r="W805" t="s">
        <v>30</v>
      </c>
      <c r="X805" t="s">
        <v>1076</v>
      </c>
      <c r="Y805" t="s">
        <v>1077</v>
      </c>
      <c r="Z805" t="b">
        <v>0</v>
      </c>
      <c r="AA805" t="s">
        <v>35</v>
      </c>
      <c r="AB805" t="s">
        <v>36</v>
      </c>
      <c r="AC805" t="s">
        <v>187</v>
      </c>
    </row>
    <row r="806" spans="2:29" x14ac:dyDescent="0.35">
      <c r="B806" t="s">
        <v>1078</v>
      </c>
      <c r="C806">
        <v>896.61</v>
      </c>
      <c r="D806" t="s">
        <v>179</v>
      </c>
      <c r="E806" s="10">
        <v>896.61</v>
      </c>
      <c r="F806" t="s">
        <v>30</v>
      </c>
      <c r="G806" s="14">
        <v>46113</v>
      </c>
      <c r="H806">
        <v>513</v>
      </c>
      <c r="I806">
        <v>459960.93</v>
      </c>
      <c r="J806">
        <v>39225.792000000001</v>
      </c>
      <c r="K806" t="s">
        <v>1079</v>
      </c>
      <c r="L806" s="9" t="s">
        <v>1080</v>
      </c>
      <c r="M806" t="s">
        <v>42</v>
      </c>
      <c r="N806" s="12">
        <v>564.94429895328005</v>
      </c>
      <c r="O806" s="13">
        <v>0.63008922380218835</v>
      </c>
      <c r="P806" s="9" t="s">
        <v>1078</v>
      </c>
      <c r="Q806">
        <v>938.7</v>
      </c>
      <c r="R806">
        <v>938.7</v>
      </c>
      <c r="S806" t="s">
        <v>39</v>
      </c>
      <c r="T806">
        <v>1461.5542989532801</v>
      </c>
      <c r="U806">
        <v>8551557</v>
      </c>
      <c r="V806">
        <v>13314759.663464382</v>
      </c>
      <c r="W806" t="s">
        <v>30</v>
      </c>
      <c r="X806" t="s">
        <v>1081</v>
      </c>
      <c r="Y806" t="s">
        <v>1082</v>
      </c>
      <c r="Z806" t="b">
        <v>0</v>
      </c>
      <c r="AA806" t="s">
        <v>44</v>
      </c>
      <c r="AB806" t="s">
        <v>36</v>
      </c>
      <c r="AC806" t="s">
        <v>158</v>
      </c>
    </row>
    <row r="807" spans="2:29" x14ac:dyDescent="0.35">
      <c r="B807" t="s">
        <v>274</v>
      </c>
      <c r="C807">
        <v>684.83</v>
      </c>
      <c r="D807" t="s">
        <v>39</v>
      </c>
      <c r="E807" s="10">
        <v>1066.2791419539521</v>
      </c>
      <c r="F807" t="s">
        <v>30</v>
      </c>
      <c r="G807" s="14">
        <v>46113</v>
      </c>
      <c r="H807">
        <v>17107</v>
      </c>
      <c r="I807">
        <v>11715386.810000001</v>
      </c>
      <c r="J807">
        <v>26412.685516457401</v>
      </c>
      <c r="K807" t="s">
        <v>275</v>
      </c>
      <c r="L807" s="9" t="s">
        <v>276</v>
      </c>
      <c r="M807" t="s">
        <v>50</v>
      </c>
      <c r="N807" s="12">
        <v>966.77138095884811</v>
      </c>
      <c r="O807" s="13">
        <v>0.90667756961581703</v>
      </c>
      <c r="P807" s="9" t="s">
        <v>274</v>
      </c>
      <c r="Q807">
        <v>63.91</v>
      </c>
      <c r="R807">
        <v>63.91</v>
      </c>
      <c r="S807" t="s">
        <v>39</v>
      </c>
      <c r="T807">
        <v>99.507760995103993</v>
      </c>
      <c r="U807">
        <v>1112992.6499999999</v>
      </c>
      <c r="V807">
        <v>1732927.6577297361</v>
      </c>
      <c r="W807" t="s">
        <v>30</v>
      </c>
      <c r="X807" t="s">
        <v>277</v>
      </c>
      <c r="Y807" t="s">
        <v>278</v>
      </c>
      <c r="Z807" t="b">
        <v>0</v>
      </c>
      <c r="AA807" t="s">
        <v>44</v>
      </c>
      <c r="AB807" t="s">
        <v>45</v>
      </c>
      <c r="AC807" t="s">
        <v>245</v>
      </c>
    </row>
    <row r="808" spans="2:29" x14ac:dyDescent="0.35">
      <c r="B808" t="s">
        <v>1083</v>
      </c>
      <c r="C808">
        <v>219.54</v>
      </c>
      <c r="D808" t="s">
        <v>39</v>
      </c>
      <c r="E808" s="10">
        <v>341.82340555257599</v>
      </c>
      <c r="F808" t="s">
        <v>30</v>
      </c>
      <c r="G808" s="14">
        <v>46143</v>
      </c>
      <c r="H808">
        <v>3700</v>
      </c>
      <c r="I808">
        <v>812298</v>
      </c>
      <c r="J808">
        <v>4530.865036704</v>
      </c>
      <c r="K808" t="s">
        <v>241</v>
      </c>
      <c r="L808" s="9" t="s">
        <v>242</v>
      </c>
      <c r="M808" t="s">
        <v>50</v>
      </c>
      <c r="N808" s="12">
        <v>752.59069558118392</v>
      </c>
      <c r="O808" s="13">
        <v>2.2016944520360751</v>
      </c>
      <c r="P808" s="9" t="s">
        <v>1083</v>
      </c>
      <c r="Q808">
        <v>702.9</v>
      </c>
      <c r="R808">
        <v>702.9</v>
      </c>
      <c r="S808" t="s">
        <v>39</v>
      </c>
      <c r="T808">
        <v>1094.4141011337599</v>
      </c>
      <c r="U808">
        <v>9860984.0999999996</v>
      </c>
      <c r="V808">
        <v>15353535.424805518</v>
      </c>
      <c r="W808" t="s">
        <v>30</v>
      </c>
      <c r="X808" t="s">
        <v>966</v>
      </c>
      <c r="Y808" t="s">
        <v>1084</v>
      </c>
      <c r="Z808" t="b">
        <v>0</v>
      </c>
      <c r="AB808" t="s">
        <v>45</v>
      </c>
      <c r="AC808" t="s">
        <v>968</v>
      </c>
    </row>
    <row r="809" spans="2:29" x14ac:dyDescent="0.35">
      <c r="B809" t="s">
        <v>296</v>
      </c>
      <c r="C809">
        <v>113</v>
      </c>
      <c r="D809" t="s">
        <v>39</v>
      </c>
      <c r="E809" s="10">
        <v>175.9408072672</v>
      </c>
      <c r="F809" t="s">
        <v>30</v>
      </c>
      <c r="G809" s="14">
        <v>46143</v>
      </c>
      <c r="H809">
        <v>5571</v>
      </c>
      <c r="I809">
        <v>629523</v>
      </c>
      <c r="J809">
        <v>771.47474939481401</v>
      </c>
      <c r="K809" t="s">
        <v>297</v>
      </c>
      <c r="L809" s="9" t="s">
        <v>298</v>
      </c>
      <c r="M809" t="s">
        <v>50</v>
      </c>
      <c r="N809" s="12">
        <v>555.1633118512641</v>
      </c>
      <c r="O809" s="13">
        <v>3.1553982300884962</v>
      </c>
      <c r="P809" s="9" t="s">
        <v>296</v>
      </c>
      <c r="Q809">
        <v>469.56</v>
      </c>
      <c r="R809">
        <v>469.56</v>
      </c>
      <c r="S809" t="s">
        <v>39</v>
      </c>
      <c r="T809">
        <v>731.10411911846404</v>
      </c>
      <c r="U809">
        <v>1970273.76</v>
      </c>
      <c r="V809">
        <v>3067712.8838210753</v>
      </c>
      <c r="W809" t="s">
        <v>30</v>
      </c>
      <c r="X809" t="s">
        <v>299</v>
      </c>
      <c r="Y809" t="s">
        <v>300</v>
      </c>
      <c r="Z809" t="b">
        <v>0</v>
      </c>
      <c r="AB809" t="s">
        <v>45</v>
      </c>
      <c r="AC809" t="s">
        <v>301</v>
      </c>
    </row>
    <row r="810" spans="2:29" x14ac:dyDescent="0.35">
      <c r="B810" t="s">
        <v>307</v>
      </c>
      <c r="C810">
        <v>8.27</v>
      </c>
      <c r="D810" t="s">
        <v>179</v>
      </c>
      <c r="E810" s="10">
        <v>8.27</v>
      </c>
      <c r="F810" t="s">
        <v>30</v>
      </c>
      <c r="G810" s="14">
        <v>46143</v>
      </c>
      <c r="H810">
        <v>16965</v>
      </c>
      <c r="I810">
        <v>140300.54999999999</v>
      </c>
      <c r="J810">
        <v>578421.6</v>
      </c>
      <c r="K810" t="s">
        <v>269</v>
      </c>
      <c r="L810" s="9" t="s">
        <v>270</v>
      </c>
      <c r="M810" t="s">
        <v>50</v>
      </c>
      <c r="N810" s="12">
        <v>1416.2588795124479</v>
      </c>
      <c r="O810" s="13">
        <v>171.25258518892963</v>
      </c>
      <c r="P810" s="9" t="s">
        <v>307</v>
      </c>
      <c r="Q810">
        <v>914.92</v>
      </c>
      <c r="R810">
        <v>914.92</v>
      </c>
      <c r="S810" t="s">
        <v>39</v>
      </c>
      <c r="T810">
        <v>1424.5288795124479</v>
      </c>
      <c r="U810">
        <v>4800585.24</v>
      </c>
      <c r="V810">
        <v>7474503.030801814</v>
      </c>
      <c r="W810" t="s">
        <v>30</v>
      </c>
      <c r="X810" t="s">
        <v>271</v>
      </c>
      <c r="Y810" t="s">
        <v>308</v>
      </c>
      <c r="Z810" t="b">
        <v>0</v>
      </c>
      <c r="AA810" t="s">
        <v>35</v>
      </c>
      <c r="AB810" t="s">
        <v>36</v>
      </c>
      <c r="AC810" t="s">
        <v>273</v>
      </c>
    </row>
    <row r="811" spans="2:29" x14ac:dyDescent="0.35">
      <c r="B811" t="s">
        <v>1085</v>
      </c>
      <c r="C811">
        <v>352.35</v>
      </c>
      <c r="D811" t="s">
        <v>39</v>
      </c>
      <c r="E811" s="10">
        <v>548.60834903184002</v>
      </c>
      <c r="F811" t="s">
        <v>30</v>
      </c>
      <c r="G811" s="14">
        <v>46143</v>
      </c>
      <c r="H811">
        <v>14456</v>
      </c>
      <c r="I811">
        <v>5093571.6000000006</v>
      </c>
      <c r="J811">
        <v>1030.0664756228</v>
      </c>
      <c r="K811" t="s">
        <v>241</v>
      </c>
      <c r="L811" s="9" t="s">
        <v>242</v>
      </c>
      <c r="M811" t="s">
        <v>50</v>
      </c>
      <c r="N811" s="12">
        <v>148.38193745631997</v>
      </c>
      <c r="O811" s="13">
        <v>0.27046970341989496</v>
      </c>
      <c r="P811" s="9" t="s">
        <v>1085</v>
      </c>
      <c r="Q811">
        <v>447.65</v>
      </c>
      <c r="R811">
        <v>447.65</v>
      </c>
      <c r="S811" t="s">
        <v>39</v>
      </c>
      <c r="T811">
        <v>696.99028648816</v>
      </c>
      <c r="U811">
        <v>107436</v>
      </c>
      <c r="V811">
        <v>167277.66875715839</v>
      </c>
      <c r="W811" t="s">
        <v>30</v>
      </c>
      <c r="X811" t="s">
        <v>1086</v>
      </c>
      <c r="Y811" t="s">
        <v>1087</v>
      </c>
      <c r="Z811" t="b">
        <v>0</v>
      </c>
      <c r="AB811" t="s">
        <v>45</v>
      </c>
      <c r="AC811" t="s">
        <v>968</v>
      </c>
    </row>
    <row r="812" spans="2:29" x14ac:dyDescent="0.35">
      <c r="B812" t="s">
        <v>1088</v>
      </c>
      <c r="C812">
        <v>800.27</v>
      </c>
      <c r="D812" t="s">
        <v>39</v>
      </c>
      <c r="E812" s="10">
        <v>1246.0190250594881</v>
      </c>
      <c r="F812" t="s">
        <v>30</v>
      </c>
      <c r="G812" s="14">
        <v>46143</v>
      </c>
      <c r="H812">
        <v>9833</v>
      </c>
      <c r="I812">
        <v>7869054.9100000001</v>
      </c>
      <c r="J812">
        <v>8518.6490683212796</v>
      </c>
      <c r="K812" t="s">
        <v>241</v>
      </c>
      <c r="L812" s="9" t="s">
        <v>242</v>
      </c>
      <c r="M812" t="s">
        <v>50</v>
      </c>
      <c r="N812" s="12">
        <v>225.21980328495988</v>
      </c>
      <c r="O812" s="13">
        <v>0.18075149636997503</v>
      </c>
      <c r="P812" s="9" t="s">
        <v>1088</v>
      </c>
      <c r="Q812">
        <v>944.92</v>
      </c>
      <c r="R812">
        <v>944.92</v>
      </c>
      <c r="S812" t="s">
        <v>39</v>
      </c>
      <c r="T812">
        <v>1471.2388283444479</v>
      </c>
      <c r="U812">
        <v>4981618.24</v>
      </c>
      <c r="V812">
        <v>7756371.1030319296</v>
      </c>
      <c r="W812" t="s">
        <v>30</v>
      </c>
      <c r="X812" t="s">
        <v>966</v>
      </c>
      <c r="Y812" t="s">
        <v>1089</v>
      </c>
      <c r="Z812" t="b">
        <v>0</v>
      </c>
      <c r="AA812" t="s">
        <v>44</v>
      </c>
      <c r="AB812" t="s">
        <v>45</v>
      </c>
      <c r="AC812" t="s">
        <v>968</v>
      </c>
    </row>
    <row r="813" spans="2:29" x14ac:dyDescent="0.35">
      <c r="B813" t="s">
        <v>1090</v>
      </c>
      <c r="C813">
        <v>575.91</v>
      </c>
      <c r="D813" t="s">
        <v>71</v>
      </c>
      <c r="E813" s="10">
        <v>6409.4744284267945</v>
      </c>
      <c r="F813" t="s">
        <v>30</v>
      </c>
      <c r="G813" s="14">
        <v>46143</v>
      </c>
      <c r="H813">
        <v>18832</v>
      </c>
      <c r="I813">
        <v>10845537.119999999</v>
      </c>
      <c r="J813">
        <v>13081.3777207773</v>
      </c>
      <c r="K813" t="s">
        <v>1004</v>
      </c>
      <c r="L813" s="9" t="s">
        <v>1005</v>
      </c>
      <c r="M813" t="s">
        <v>50</v>
      </c>
      <c r="N813" s="12">
        <v>5889.763967739018</v>
      </c>
      <c r="O813" s="13">
        <v>0.91891527667498007</v>
      </c>
      <c r="P813" s="9" t="s">
        <v>1090</v>
      </c>
      <c r="Q813">
        <v>333.79</v>
      </c>
      <c r="R813">
        <v>333.79</v>
      </c>
      <c r="S813" t="s">
        <v>39</v>
      </c>
      <c r="T813">
        <v>519.71046068777605</v>
      </c>
      <c r="U813">
        <v>946294.65</v>
      </c>
      <c r="V813">
        <v>1473379.156049845</v>
      </c>
      <c r="W813" t="s">
        <v>30</v>
      </c>
      <c r="X813" t="s">
        <v>1006</v>
      </c>
      <c r="Y813" t="s">
        <v>1091</v>
      </c>
      <c r="Z813" t="b">
        <v>0</v>
      </c>
      <c r="AA813" t="s">
        <v>44</v>
      </c>
      <c r="AB813" t="s">
        <v>36</v>
      </c>
      <c r="AC813" t="s">
        <v>288</v>
      </c>
    </row>
    <row r="814" spans="2:29" x14ac:dyDescent="0.35">
      <c r="B814" t="s">
        <v>1092</v>
      </c>
      <c r="C814">
        <v>16.489999999999998</v>
      </c>
      <c r="D814" t="s">
        <v>39</v>
      </c>
      <c r="E814" s="10">
        <v>25.674901874655998</v>
      </c>
      <c r="F814" t="s">
        <v>30</v>
      </c>
      <c r="G814" s="14">
        <v>46143</v>
      </c>
      <c r="H814">
        <v>7199</v>
      </c>
      <c r="I814">
        <v>118711.51</v>
      </c>
      <c r="J814">
        <v>8527.3682587699204</v>
      </c>
      <c r="K814" t="s">
        <v>454</v>
      </c>
      <c r="L814" s="9" t="s">
        <v>455</v>
      </c>
      <c r="M814" t="s">
        <v>50</v>
      </c>
      <c r="N814" s="12">
        <v>13.452465263615998</v>
      </c>
      <c r="O814" s="13">
        <v>0.52395391146149184</v>
      </c>
      <c r="P814" s="9" t="s">
        <v>1092</v>
      </c>
      <c r="Q814">
        <v>7.85</v>
      </c>
      <c r="R814">
        <v>7.85E-2</v>
      </c>
      <c r="S814" t="s">
        <v>39</v>
      </c>
      <c r="T814">
        <v>12.222436611039999</v>
      </c>
      <c r="U814">
        <v>122389.34999999999</v>
      </c>
      <c r="V814">
        <v>190560.00920272461</v>
      </c>
      <c r="W814" t="s">
        <v>249</v>
      </c>
      <c r="X814" t="s">
        <v>317</v>
      </c>
      <c r="Y814" t="s">
        <v>1093</v>
      </c>
      <c r="Z814" t="b">
        <v>0</v>
      </c>
      <c r="AA814" t="s">
        <v>44</v>
      </c>
      <c r="AB814" t="s">
        <v>45</v>
      </c>
      <c r="AC814" t="s">
        <v>251</v>
      </c>
    </row>
    <row r="815" spans="2:29" x14ac:dyDescent="0.35">
      <c r="B815" t="s">
        <v>1094</v>
      </c>
      <c r="C815">
        <v>211.96</v>
      </c>
      <c r="D815" t="s">
        <v>39</v>
      </c>
      <c r="E815" s="10">
        <v>330.02135848102404</v>
      </c>
      <c r="F815" t="s">
        <v>30</v>
      </c>
      <c r="G815" s="14">
        <v>46143</v>
      </c>
      <c r="H815">
        <v>5694</v>
      </c>
      <c r="I815">
        <v>1206900.24</v>
      </c>
      <c r="J815">
        <v>13473.2511908462</v>
      </c>
      <c r="K815" t="s">
        <v>343</v>
      </c>
      <c r="L815" s="9" t="s">
        <v>344</v>
      </c>
      <c r="M815" t="s">
        <v>42</v>
      </c>
      <c r="N815" s="12">
        <v>340.45324705350396</v>
      </c>
      <c r="O815" s="13">
        <v>1.0316097376863558</v>
      </c>
      <c r="P815" s="9" t="s">
        <v>1094</v>
      </c>
      <c r="Q815">
        <v>430.62</v>
      </c>
      <c r="R815">
        <v>430.62</v>
      </c>
      <c r="S815" t="s">
        <v>39</v>
      </c>
      <c r="T815">
        <v>670.474605534528</v>
      </c>
      <c r="U815">
        <v>7004464.9199999999</v>
      </c>
      <c r="V815">
        <v>10905939.933624633</v>
      </c>
      <c r="W815" t="s">
        <v>30</v>
      </c>
      <c r="X815" t="s">
        <v>345</v>
      </c>
      <c r="Y815" t="s">
        <v>1095</v>
      </c>
      <c r="Z815" t="b">
        <v>0</v>
      </c>
      <c r="AB815" t="s">
        <v>45</v>
      </c>
      <c r="AC815" t="s">
        <v>46</v>
      </c>
    </row>
    <row r="816" spans="2:29" x14ac:dyDescent="0.35">
      <c r="B816" t="s">
        <v>1096</v>
      </c>
      <c r="C816">
        <v>658.99</v>
      </c>
      <c r="D816" t="s">
        <v>39</v>
      </c>
      <c r="E816" s="10">
        <v>1026.0463060266561</v>
      </c>
      <c r="F816" t="s">
        <v>30</v>
      </c>
      <c r="G816" s="14">
        <v>46143</v>
      </c>
      <c r="H816">
        <v>5715</v>
      </c>
      <c r="I816">
        <v>3766127.85</v>
      </c>
      <c r="J816">
        <v>172.453131087744</v>
      </c>
      <c r="K816" t="s">
        <v>343</v>
      </c>
      <c r="L816" s="9" t="s">
        <v>344</v>
      </c>
      <c r="M816" t="s">
        <v>42</v>
      </c>
      <c r="N816" s="12">
        <v>273.81372005318406</v>
      </c>
      <c r="O816" s="13">
        <v>0.26686292659979666</v>
      </c>
      <c r="P816" s="9" t="s">
        <v>1096</v>
      </c>
      <c r="Q816">
        <v>483.13</v>
      </c>
      <c r="R816">
        <v>483.13</v>
      </c>
      <c r="S816" t="s">
        <v>39</v>
      </c>
      <c r="T816">
        <v>752.23258597347206</v>
      </c>
      <c r="U816">
        <v>6912140.9100000001</v>
      </c>
      <c r="V816">
        <v>10762191.607522465</v>
      </c>
      <c r="W816" t="s">
        <v>30</v>
      </c>
      <c r="X816" t="s">
        <v>345</v>
      </c>
      <c r="Y816" t="s">
        <v>1097</v>
      </c>
      <c r="Z816" t="b">
        <v>0</v>
      </c>
      <c r="AA816" t="s">
        <v>44</v>
      </c>
      <c r="AB816" t="s">
        <v>45</v>
      </c>
      <c r="AC816" t="s">
        <v>46</v>
      </c>
    </row>
    <row r="817" spans="2:29" x14ac:dyDescent="0.35">
      <c r="B817" t="s">
        <v>1096</v>
      </c>
      <c r="C817">
        <v>910.25</v>
      </c>
      <c r="D817" t="s">
        <v>39</v>
      </c>
      <c r="E817" s="10">
        <v>1417.2576974776</v>
      </c>
      <c r="F817" t="s">
        <v>30</v>
      </c>
      <c r="G817" s="14">
        <v>46143</v>
      </c>
      <c r="H817">
        <v>16618</v>
      </c>
      <c r="I817">
        <v>15126534.5</v>
      </c>
      <c r="J817">
        <v>172.453131087744</v>
      </c>
      <c r="K817" t="s">
        <v>343</v>
      </c>
      <c r="L817" s="9" t="s">
        <v>344</v>
      </c>
      <c r="M817" t="s">
        <v>42</v>
      </c>
      <c r="N817" s="12">
        <v>233.78329390416002</v>
      </c>
      <c r="O817" s="13">
        <v>0.16495468277945621</v>
      </c>
      <c r="P817" s="9" t="s">
        <v>1096</v>
      </c>
      <c r="Q817">
        <v>760.1</v>
      </c>
      <c r="R817">
        <v>760.1</v>
      </c>
      <c r="S817" t="s">
        <v>39</v>
      </c>
      <c r="T817">
        <v>1183.47440357344</v>
      </c>
      <c r="U817">
        <v>3578550.8000000003</v>
      </c>
      <c r="V817">
        <v>5571797.4920237558</v>
      </c>
      <c r="W817" t="s">
        <v>30</v>
      </c>
      <c r="X817" t="s">
        <v>345</v>
      </c>
      <c r="Y817" t="s">
        <v>1097</v>
      </c>
      <c r="Z817" t="b">
        <v>0</v>
      </c>
      <c r="AA817" t="s">
        <v>44</v>
      </c>
      <c r="AB817" t="s">
        <v>45</v>
      </c>
      <c r="AC817" t="s">
        <v>46</v>
      </c>
    </row>
    <row r="818" spans="2:29" x14ac:dyDescent="0.35">
      <c r="B818" t="s">
        <v>1096</v>
      </c>
      <c r="C818">
        <v>320.47000000000003</v>
      </c>
      <c r="D818" t="s">
        <v>39</v>
      </c>
      <c r="E818" s="10">
        <v>498.97124340636805</v>
      </c>
      <c r="F818" t="s">
        <v>30</v>
      </c>
      <c r="G818" s="14">
        <v>46143</v>
      </c>
      <c r="H818">
        <v>18310</v>
      </c>
      <c r="I818">
        <v>5867805.7000000002</v>
      </c>
      <c r="J818">
        <v>172.453131087744</v>
      </c>
      <c r="K818" t="s">
        <v>343</v>
      </c>
      <c r="L818" s="9" t="s">
        <v>344</v>
      </c>
      <c r="M818" t="s">
        <v>42</v>
      </c>
      <c r="N818" s="12">
        <v>147.38545854790402</v>
      </c>
      <c r="O818" s="13">
        <v>0.29537866258932194</v>
      </c>
      <c r="P818" s="9" t="s">
        <v>1096</v>
      </c>
      <c r="Q818">
        <v>225.81</v>
      </c>
      <c r="R818">
        <v>225.81</v>
      </c>
      <c r="S818" t="s">
        <v>39</v>
      </c>
      <c r="T818">
        <v>351.58578485846402</v>
      </c>
      <c r="U818">
        <v>2201647.5</v>
      </c>
      <c r="V818">
        <v>3427961.402370024</v>
      </c>
      <c r="W818" t="s">
        <v>30</v>
      </c>
      <c r="X818" t="s">
        <v>345</v>
      </c>
      <c r="Y818" t="s">
        <v>1097</v>
      </c>
      <c r="Z818" t="b">
        <v>0</v>
      </c>
      <c r="AA818" t="s">
        <v>44</v>
      </c>
      <c r="AB818" t="s">
        <v>45</v>
      </c>
      <c r="AC818" t="s">
        <v>46</v>
      </c>
    </row>
    <row r="819" spans="2:29" x14ac:dyDescent="0.35">
      <c r="B819" t="s">
        <v>1096</v>
      </c>
      <c r="C819">
        <v>267.64</v>
      </c>
      <c r="D819" t="s">
        <v>39</v>
      </c>
      <c r="E819" s="10">
        <v>416.71502351321601</v>
      </c>
      <c r="F819" t="s">
        <v>30</v>
      </c>
      <c r="G819" s="14">
        <v>46143</v>
      </c>
      <c r="H819">
        <v>1290</v>
      </c>
      <c r="I819">
        <v>345255.6</v>
      </c>
      <c r="J819">
        <v>172.453131087744</v>
      </c>
      <c r="K819" t="s">
        <v>343</v>
      </c>
      <c r="L819" s="9" t="s">
        <v>344</v>
      </c>
      <c r="M819" t="s">
        <v>42</v>
      </c>
      <c r="N819" s="12">
        <v>1121.8328410981439</v>
      </c>
      <c r="O819" s="13">
        <v>2.6920863846958598</v>
      </c>
      <c r="P819" s="9" t="s">
        <v>1096</v>
      </c>
      <c r="Q819">
        <v>988.15</v>
      </c>
      <c r="R819">
        <v>988.15</v>
      </c>
      <c r="S819" t="s">
        <v>39</v>
      </c>
      <c r="T819">
        <v>1538.54786461136</v>
      </c>
      <c r="U819">
        <v>17488278.699999999</v>
      </c>
      <c r="V819">
        <v>27229220.10789185</v>
      </c>
      <c r="W819" t="s">
        <v>30</v>
      </c>
      <c r="X819" t="s">
        <v>345</v>
      </c>
      <c r="Y819" t="s">
        <v>1097</v>
      </c>
      <c r="Z819" t="b">
        <v>0</v>
      </c>
      <c r="AA819" t="s">
        <v>44</v>
      </c>
      <c r="AB819" t="s">
        <v>45</v>
      </c>
      <c r="AC819" t="s">
        <v>46</v>
      </c>
    </row>
    <row r="820" spans="2:29" x14ac:dyDescent="0.35">
      <c r="B820" t="s">
        <v>1096</v>
      </c>
      <c r="C820">
        <v>996.23</v>
      </c>
      <c r="D820" t="s">
        <v>39</v>
      </c>
      <c r="E820" s="10">
        <v>1551.128410830112</v>
      </c>
      <c r="F820" t="s">
        <v>30</v>
      </c>
      <c r="G820" s="14">
        <v>46143</v>
      </c>
      <c r="H820">
        <v>3664</v>
      </c>
      <c r="I820">
        <v>3650186.72</v>
      </c>
      <c r="J820">
        <v>172.453131087744</v>
      </c>
      <c r="K820" t="s">
        <v>343</v>
      </c>
      <c r="L820" s="9" t="s">
        <v>344</v>
      </c>
      <c r="M820" t="s">
        <v>42</v>
      </c>
      <c r="N820" s="12">
        <v>1041.6007189877118</v>
      </c>
      <c r="O820" s="13">
        <v>0.67151159872720145</v>
      </c>
      <c r="P820" s="9" t="s">
        <v>1096</v>
      </c>
      <c r="Q820">
        <v>327.25</v>
      </c>
      <c r="R820">
        <v>327.25</v>
      </c>
      <c r="S820" t="s">
        <v>39</v>
      </c>
      <c r="T820">
        <v>509.52769184240003</v>
      </c>
      <c r="U820">
        <v>5094955.25</v>
      </c>
      <c r="V820">
        <v>7932836.6342943264</v>
      </c>
      <c r="W820" t="s">
        <v>30</v>
      </c>
      <c r="X820" t="s">
        <v>345</v>
      </c>
      <c r="Y820" t="s">
        <v>1097</v>
      </c>
      <c r="Z820" t="b">
        <v>0</v>
      </c>
      <c r="AA820" t="s">
        <v>44</v>
      </c>
      <c r="AB820" t="s">
        <v>45</v>
      </c>
      <c r="AC820" t="s">
        <v>46</v>
      </c>
    </row>
    <row r="821" spans="2:29" x14ac:dyDescent="0.35">
      <c r="B821" t="s">
        <v>1096</v>
      </c>
      <c r="C821">
        <v>444.66</v>
      </c>
      <c r="D821" t="s">
        <v>39</v>
      </c>
      <c r="E821" s="10">
        <v>692.33486158790402</v>
      </c>
      <c r="F821" t="s">
        <v>30</v>
      </c>
      <c r="G821" s="14">
        <v>46143</v>
      </c>
      <c r="H821">
        <v>13786</v>
      </c>
      <c r="I821">
        <v>6130082.7600000007</v>
      </c>
      <c r="J821">
        <v>172.453131087744</v>
      </c>
      <c r="K821" t="s">
        <v>343</v>
      </c>
      <c r="L821" s="9" t="s">
        <v>344</v>
      </c>
      <c r="M821" t="s">
        <v>42</v>
      </c>
      <c r="N821" s="12">
        <v>155.91780920121607</v>
      </c>
      <c r="O821" s="13">
        <v>0.22520577519902857</v>
      </c>
      <c r="P821" s="9" t="s">
        <v>1096</v>
      </c>
      <c r="Q821">
        <v>344.52</v>
      </c>
      <c r="R821">
        <v>344.52</v>
      </c>
      <c r="S821" t="s">
        <v>39</v>
      </c>
      <c r="T821">
        <v>536.41705238668794</v>
      </c>
      <c r="U821">
        <v>1149663.24</v>
      </c>
      <c r="V821">
        <v>1790023.7038143778</v>
      </c>
      <c r="W821" t="s">
        <v>30</v>
      </c>
      <c r="X821" t="s">
        <v>345</v>
      </c>
      <c r="Y821" t="s">
        <v>1097</v>
      </c>
      <c r="Z821" t="b">
        <v>0</v>
      </c>
      <c r="AA821" t="s">
        <v>44</v>
      </c>
      <c r="AB821" t="s">
        <v>45</v>
      </c>
      <c r="AC821" t="s">
        <v>46</v>
      </c>
    </row>
    <row r="822" spans="2:29" x14ac:dyDescent="0.35">
      <c r="B822" t="s">
        <v>1096</v>
      </c>
      <c r="C822">
        <v>963.82</v>
      </c>
      <c r="D822" t="s">
        <v>39</v>
      </c>
      <c r="E822" s="10">
        <v>1500.6660961086081</v>
      </c>
      <c r="F822" t="s">
        <v>30</v>
      </c>
      <c r="G822" s="14">
        <v>46143</v>
      </c>
      <c r="H822">
        <v>4655</v>
      </c>
      <c r="I822">
        <v>4486582.1000000006</v>
      </c>
      <c r="J822">
        <v>172.453131087744</v>
      </c>
      <c r="K822" t="s">
        <v>343</v>
      </c>
      <c r="L822" s="9" t="s">
        <v>344</v>
      </c>
      <c r="M822" t="s">
        <v>42</v>
      </c>
      <c r="N822" s="12">
        <v>1262.0405375088642</v>
      </c>
      <c r="O822" s="13">
        <v>0.84098690626880546</v>
      </c>
      <c r="P822" s="9" t="s">
        <v>1096</v>
      </c>
      <c r="Q822">
        <v>153.26</v>
      </c>
      <c r="R822">
        <v>153.26</v>
      </c>
      <c r="S822" t="s">
        <v>39</v>
      </c>
      <c r="T822">
        <v>238.62555859974398</v>
      </c>
      <c r="U822">
        <v>2039124.2999999998</v>
      </c>
      <c r="V822">
        <v>3174913.0571695939</v>
      </c>
      <c r="W822" t="s">
        <v>30</v>
      </c>
      <c r="X822" t="s">
        <v>345</v>
      </c>
      <c r="Y822" t="s">
        <v>1097</v>
      </c>
      <c r="Z822" t="b">
        <v>0</v>
      </c>
      <c r="AA822" t="s">
        <v>44</v>
      </c>
      <c r="AB822" t="s">
        <v>45</v>
      </c>
      <c r="AC822" t="s">
        <v>46</v>
      </c>
    </row>
    <row r="823" spans="2:29" x14ac:dyDescent="0.35">
      <c r="B823" t="s">
        <v>1096</v>
      </c>
      <c r="C823">
        <v>759.98</v>
      </c>
      <c r="D823" t="s">
        <v>39</v>
      </c>
      <c r="E823" s="10">
        <v>1183.2875637781121</v>
      </c>
      <c r="F823" t="s">
        <v>30</v>
      </c>
      <c r="G823" s="14">
        <v>46143</v>
      </c>
      <c r="H823">
        <v>19924</v>
      </c>
      <c r="I823">
        <v>15141841.52</v>
      </c>
      <c r="J823">
        <v>172.453131087744</v>
      </c>
      <c r="K823" t="s">
        <v>343</v>
      </c>
      <c r="L823" s="9" t="s">
        <v>344</v>
      </c>
      <c r="M823" t="s">
        <v>42</v>
      </c>
      <c r="N823" s="12">
        <v>1036.0266650937601</v>
      </c>
      <c r="O823" s="13">
        <v>0.87554935656201482</v>
      </c>
      <c r="P823" s="9" t="s">
        <v>1096</v>
      </c>
      <c r="Q823">
        <v>94.58</v>
      </c>
      <c r="R823">
        <v>94.58</v>
      </c>
      <c r="S823" t="s">
        <v>39</v>
      </c>
      <c r="T823">
        <v>147.26089868435201</v>
      </c>
      <c r="U823">
        <v>1447641.48</v>
      </c>
      <c r="V823">
        <v>2253975.315262692</v>
      </c>
      <c r="W823" t="s">
        <v>30</v>
      </c>
      <c r="X823" t="s">
        <v>345</v>
      </c>
      <c r="Y823" t="s">
        <v>1097</v>
      </c>
      <c r="Z823" t="b">
        <v>0</v>
      </c>
      <c r="AA823" t="s">
        <v>44</v>
      </c>
      <c r="AB823" t="s">
        <v>45</v>
      </c>
      <c r="AC823" t="s">
        <v>46</v>
      </c>
    </row>
    <row r="824" spans="2:29" x14ac:dyDescent="0.35">
      <c r="B824" t="s">
        <v>1096</v>
      </c>
      <c r="C824">
        <v>61.46</v>
      </c>
      <c r="D824" t="s">
        <v>39</v>
      </c>
      <c r="E824" s="10">
        <v>95.693115173823998</v>
      </c>
      <c r="F824" t="s">
        <v>30</v>
      </c>
      <c r="G824" s="14">
        <v>46143</v>
      </c>
      <c r="H824">
        <v>17375</v>
      </c>
      <c r="I824">
        <v>1067867.5</v>
      </c>
      <c r="J824">
        <v>172.453131087744</v>
      </c>
      <c r="K824" t="s">
        <v>343</v>
      </c>
      <c r="L824" s="9" t="s">
        <v>344</v>
      </c>
      <c r="M824" t="s">
        <v>42</v>
      </c>
      <c r="N824" s="12">
        <v>1165.8647528637759</v>
      </c>
      <c r="O824" s="13">
        <v>12.183371298405467</v>
      </c>
      <c r="P824" s="9" t="s">
        <v>1096</v>
      </c>
      <c r="Q824">
        <v>810.25</v>
      </c>
      <c r="R824">
        <v>810.25</v>
      </c>
      <c r="S824" t="s">
        <v>39</v>
      </c>
      <c r="T824">
        <v>1261.5578680376</v>
      </c>
      <c r="U824">
        <v>5524284.5</v>
      </c>
      <c r="V824">
        <v>8601301.5442803558</v>
      </c>
      <c r="W824" t="s">
        <v>30</v>
      </c>
      <c r="X824" t="s">
        <v>345</v>
      </c>
      <c r="Y824" t="s">
        <v>1097</v>
      </c>
      <c r="Z824" t="b">
        <v>0</v>
      </c>
      <c r="AA824" t="s">
        <v>44</v>
      </c>
      <c r="AB824" t="s">
        <v>45</v>
      </c>
      <c r="AC824" t="s">
        <v>46</v>
      </c>
    </row>
    <row r="825" spans="2:29" x14ac:dyDescent="0.35">
      <c r="B825" t="s">
        <v>1096</v>
      </c>
      <c r="C825">
        <v>656.32</v>
      </c>
      <c r="D825" t="s">
        <v>39</v>
      </c>
      <c r="E825" s="10">
        <v>1021.8891205806081</v>
      </c>
      <c r="F825" t="s">
        <v>30</v>
      </c>
      <c r="G825" s="14">
        <v>46143</v>
      </c>
      <c r="H825">
        <v>3485</v>
      </c>
      <c r="I825">
        <v>2287275.2000000002</v>
      </c>
      <c r="J825">
        <v>172.453131087744</v>
      </c>
      <c r="K825" t="s">
        <v>343</v>
      </c>
      <c r="L825" s="9" t="s">
        <v>344</v>
      </c>
      <c r="M825" t="s">
        <v>42</v>
      </c>
      <c r="N825" s="12">
        <v>129.40212824758396</v>
      </c>
      <c r="O825" s="13">
        <v>0.12663030229156505</v>
      </c>
      <c r="P825" s="9" t="s">
        <v>1096</v>
      </c>
      <c r="Q825">
        <v>739.43</v>
      </c>
      <c r="R825">
        <v>739.43</v>
      </c>
      <c r="S825" t="s">
        <v>39</v>
      </c>
      <c r="T825">
        <v>1151.291248828192</v>
      </c>
      <c r="U825">
        <v>588586.27999999991</v>
      </c>
      <c r="V825">
        <v>916427.83406724082</v>
      </c>
      <c r="W825" t="s">
        <v>30</v>
      </c>
      <c r="X825" t="s">
        <v>345</v>
      </c>
      <c r="Y825" t="s">
        <v>1097</v>
      </c>
      <c r="Z825" t="b">
        <v>0</v>
      </c>
      <c r="AA825" t="s">
        <v>44</v>
      </c>
      <c r="AB825" t="s">
        <v>45</v>
      </c>
      <c r="AC825" t="s">
        <v>46</v>
      </c>
    </row>
    <row r="826" spans="2:29" x14ac:dyDescent="0.35">
      <c r="B826" t="s">
        <v>1096</v>
      </c>
      <c r="C826">
        <v>478.73</v>
      </c>
      <c r="D826" t="s">
        <v>39</v>
      </c>
      <c r="E826" s="10">
        <v>745.38179347811206</v>
      </c>
      <c r="F826" t="s">
        <v>30</v>
      </c>
      <c r="G826" s="14">
        <v>46143</v>
      </c>
      <c r="H826">
        <v>10196</v>
      </c>
      <c r="I826">
        <v>4881131.08</v>
      </c>
      <c r="J826">
        <v>172.453131087744</v>
      </c>
      <c r="K826" t="s">
        <v>343</v>
      </c>
      <c r="L826" s="9" t="s">
        <v>344</v>
      </c>
      <c r="M826" t="s">
        <v>42</v>
      </c>
      <c r="N826" s="12">
        <v>61.267882884640017</v>
      </c>
      <c r="O826" s="13">
        <v>8.2196645290664894E-2</v>
      </c>
      <c r="P826" s="9" t="s">
        <v>1096</v>
      </c>
      <c r="Q826">
        <v>518.08000000000004</v>
      </c>
      <c r="R826">
        <v>518.08000000000004</v>
      </c>
      <c r="S826" t="s">
        <v>39</v>
      </c>
      <c r="T826">
        <v>806.64967636275207</v>
      </c>
      <c r="U826">
        <v>7103912.9600000009</v>
      </c>
      <c r="V826">
        <v>11060780.362286057</v>
      </c>
      <c r="W826" t="s">
        <v>30</v>
      </c>
      <c r="X826" t="s">
        <v>345</v>
      </c>
      <c r="Y826" t="s">
        <v>1097</v>
      </c>
      <c r="Z826" t="b">
        <v>0</v>
      </c>
      <c r="AA826" t="s">
        <v>44</v>
      </c>
      <c r="AB826" t="s">
        <v>45</v>
      </c>
      <c r="AC826" t="s">
        <v>46</v>
      </c>
    </row>
    <row r="827" spans="2:29" x14ac:dyDescent="0.35">
      <c r="B827" t="s">
        <v>1096</v>
      </c>
      <c r="C827">
        <v>501.02</v>
      </c>
      <c r="D827" t="s">
        <v>39</v>
      </c>
      <c r="E827" s="10">
        <v>780.08728546028794</v>
      </c>
      <c r="F827" t="s">
        <v>30</v>
      </c>
      <c r="G827" s="14">
        <v>46143</v>
      </c>
      <c r="H827">
        <v>2368</v>
      </c>
      <c r="I827">
        <v>1186415.3599999999</v>
      </c>
      <c r="J827">
        <v>172.453131087744</v>
      </c>
      <c r="K827" t="s">
        <v>343</v>
      </c>
      <c r="L827" s="9" t="s">
        <v>344</v>
      </c>
      <c r="M827" t="s">
        <v>42</v>
      </c>
      <c r="N827" s="12">
        <v>703.01586988748807</v>
      </c>
      <c r="O827" s="13">
        <v>0.90120154884036585</v>
      </c>
      <c r="P827" s="9" t="s">
        <v>1096</v>
      </c>
      <c r="Q827">
        <v>952.54</v>
      </c>
      <c r="R827">
        <v>952.54</v>
      </c>
      <c r="S827" t="s">
        <v>39</v>
      </c>
      <c r="T827">
        <v>1483.103155347776</v>
      </c>
      <c r="U827">
        <v>4830330.34</v>
      </c>
      <c r="V827">
        <v>7520816.1007685717</v>
      </c>
      <c r="W827" t="s">
        <v>30</v>
      </c>
      <c r="X827" t="s">
        <v>345</v>
      </c>
      <c r="Y827" t="s">
        <v>1097</v>
      </c>
      <c r="Z827" t="b">
        <v>0</v>
      </c>
      <c r="AA827" t="s">
        <v>44</v>
      </c>
      <c r="AB827" t="s">
        <v>45</v>
      </c>
      <c r="AC827" t="s">
        <v>46</v>
      </c>
    </row>
    <row r="828" spans="2:29" x14ac:dyDescent="0.35">
      <c r="B828" t="s">
        <v>1098</v>
      </c>
      <c r="C828">
        <v>655.62</v>
      </c>
      <c r="D828" t="s">
        <v>39</v>
      </c>
      <c r="E828" s="10">
        <v>1020.7992217745281</v>
      </c>
      <c r="F828" t="s">
        <v>30</v>
      </c>
      <c r="G828" s="14">
        <v>46143</v>
      </c>
      <c r="H828">
        <v>1946</v>
      </c>
      <c r="I828">
        <v>1275836.52</v>
      </c>
      <c r="J828">
        <v>2782.2936721610199</v>
      </c>
      <c r="K828" t="s">
        <v>343</v>
      </c>
      <c r="L828" s="9" t="s">
        <v>344</v>
      </c>
      <c r="M828" t="s">
        <v>42</v>
      </c>
      <c r="N828" s="12">
        <v>366.09700896227207</v>
      </c>
      <c r="O828" s="13">
        <v>0.35863762545376898</v>
      </c>
      <c r="P828" s="9" t="s">
        <v>1098</v>
      </c>
      <c r="Q828">
        <v>890.75</v>
      </c>
      <c r="R828">
        <v>890.75</v>
      </c>
      <c r="S828" t="s">
        <v>39</v>
      </c>
      <c r="T828">
        <v>1386.8962307368001</v>
      </c>
      <c r="U828">
        <v>15396613.75</v>
      </c>
      <c r="V828">
        <v>23972501.348285589</v>
      </c>
      <c r="W828" t="s">
        <v>30</v>
      </c>
      <c r="X828" t="s">
        <v>345</v>
      </c>
      <c r="Y828" t="s">
        <v>346</v>
      </c>
      <c r="Z828" t="b">
        <v>0</v>
      </c>
      <c r="AA828" t="s">
        <v>44</v>
      </c>
      <c r="AB828" t="s">
        <v>45</v>
      </c>
      <c r="AC828" t="s">
        <v>46</v>
      </c>
    </row>
    <row r="829" spans="2:29" x14ac:dyDescent="0.35">
      <c r="B829" t="s">
        <v>1099</v>
      </c>
      <c r="C829">
        <v>2.09</v>
      </c>
      <c r="D829" t="s">
        <v>39</v>
      </c>
      <c r="E829" s="10">
        <v>3.254126435296</v>
      </c>
      <c r="F829" t="s">
        <v>30</v>
      </c>
      <c r="G829" s="14">
        <v>46143</v>
      </c>
      <c r="H829">
        <v>7037</v>
      </c>
      <c r="I829">
        <v>14707.329999999998</v>
      </c>
      <c r="J829">
        <v>328.68856794101799</v>
      </c>
      <c r="K829" t="s">
        <v>343</v>
      </c>
      <c r="L829" s="9" t="s">
        <v>344</v>
      </c>
      <c r="M829" t="s">
        <v>42</v>
      </c>
      <c r="N829" s="12">
        <v>934.60379619654407</v>
      </c>
      <c r="O829" s="13">
        <v>287.20574162679429</v>
      </c>
      <c r="P829" s="9" t="s">
        <v>1099</v>
      </c>
      <c r="Q829">
        <v>602.35</v>
      </c>
      <c r="R829">
        <v>602.35</v>
      </c>
      <c r="S829" t="s">
        <v>39</v>
      </c>
      <c r="T829">
        <v>937.8579226318401</v>
      </c>
      <c r="U829">
        <v>3098488.4</v>
      </c>
      <c r="V829">
        <v>4824341.1540181851</v>
      </c>
      <c r="W829" t="s">
        <v>30</v>
      </c>
      <c r="X829" t="s">
        <v>345</v>
      </c>
      <c r="Y829" t="s">
        <v>1100</v>
      </c>
      <c r="Z829" t="b">
        <v>0</v>
      </c>
      <c r="AA829" t="s">
        <v>44</v>
      </c>
      <c r="AB829" t="s">
        <v>45</v>
      </c>
      <c r="AC829" t="s">
        <v>46</v>
      </c>
    </row>
    <row r="830" spans="2:29" x14ac:dyDescent="0.35">
      <c r="B830" t="s">
        <v>1101</v>
      </c>
      <c r="C830">
        <v>515.17999999999995</v>
      </c>
      <c r="D830" t="s">
        <v>39</v>
      </c>
      <c r="E830" s="10">
        <v>802.13438130899192</v>
      </c>
      <c r="F830" t="s">
        <v>30</v>
      </c>
      <c r="G830" s="14">
        <v>46143</v>
      </c>
      <c r="H830">
        <v>4061</v>
      </c>
      <c r="I830">
        <v>2092145.9799999997</v>
      </c>
      <c r="J830">
        <v>1095.6285598033901</v>
      </c>
      <c r="K830" t="s">
        <v>343</v>
      </c>
      <c r="L830" s="9" t="s">
        <v>344</v>
      </c>
      <c r="M830" t="s">
        <v>42</v>
      </c>
      <c r="N830" s="12">
        <v>763.00701417071991</v>
      </c>
      <c r="O830" s="13">
        <v>0.95122093248961526</v>
      </c>
      <c r="P830" s="9" t="s">
        <v>1101</v>
      </c>
      <c r="Q830">
        <v>25.13</v>
      </c>
      <c r="R830">
        <v>25.13</v>
      </c>
      <c r="S830" t="s">
        <v>39</v>
      </c>
      <c r="T830">
        <v>39.127367138272</v>
      </c>
      <c r="U830">
        <v>40434.17</v>
      </c>
      <c r="V830">
        <v>62955.933725479648</v>
      </c>
      <c r="W830" t="s">
        <v>30</v>
      </c>
      <c r="X830" t="s">
        <v>345</v>
      </c>
      <c r="Y830" t="s">
        <v>1102</v>
      </c>
      <c r="Z830" t="b">
        <v>0</v>
      </c>
      <c r="AA830" t="s">
        <v>44</v>
      </c>
      <c r="AB830" t="s">
        <v>45</v>
      </c>
      <c r="AC830" t="s">
        <v>46</v>
      </c>
    </row>
    <row r="831" spans="2:29" x14ac:dyDescent="0.35">
      <c r="B831" t="s">
        <v>1101</v>
      </c>
      <c r="C831">
        <v>710.15</v>
      </c>
      <c r="D831" t="s">
        <v>39</v>
      </c>
      <c r="E831" s="10">
        <v>1105.70233876816</v>
      </c>
      <c r="F831" t="s">
        <v>30</v>
      </c>
      <c r="G831" s="14">
        <v>46143</v>
      </c>
      <c r="H831">
        <v>12063</v>
      </c>
      <c r="I831">
        <v>8566539.4499999993</v>
      </c>
      <c r="J831">
        <v>438.251423921357</v>
      </c>
      <c r="K831" t="s">
        <v>343</v>
      </c>
      <c r="L831" s="9" t="s">
        <v>344</v>
      </c>
      <c r="M831" t="s">
        <v>42</v>
      </c>
      <c r="N831" s="12">
        <v>911.12426191699194</v>
      </c>
      <c r="O831" s="13">
        <v>0.82402309371259586</v>
      </c>
      <c r="P831" s="9" t="s">
        <v>1101</v>
      </c>
      <c r="Q831">
        <v>124.97</v>
      </c>
      <c r="R831">
        <v>124.97</v>
      </c>
      <c r="S831" t="s">
        <v>39</v>
      </c>
      <c r="T831">
        <v>194.57807685116799</v>
      </c>
      <c r="U831">
        <v>996010.9</v>
      </c>
      <c r="V831">
        <v>1550787.2725038088</v>
      </c>
      <c r="W831" t="s">
        <v>30</v>
      </c>
      <c r="X831" t="s">
        <v>345</v>
      </c>
      <c r="Y831" t="s">
        <v>1102</v>
      </c>
      <c r="Z831" t="b">
        <v>0</v>
      </c>
      <c r="AA831" t="s">
        <v>44</v>
      </c>
      <c r="AB831" t="s">
        <v>45</v>
      </c>
      <c r="AC831" t="s">
        <v>46</v>
      </c>
    </row>
    <row r="832" spans="2:29" x14ac:dyDescent="0.35">
      <c r="B832" t="s">
        <v>1101</v>
      </c>
      <c r="C832">
        <v>567.74</v>
      </c>
      <c r="D832" t="s">
        <v>39</v>
      </c>
      <c r="E832" s="10">
        <v>883.97021166265608</v>
      </c>
      <c r="F832" t="s">
        <v>30</v>
      </c>
      <c r="G832" s="14">
        <v>46143</v>
      </c>
      <c r="H832">
        <v>10768</v>
      </c>
      <c r="I832">
        <v>6113424.3200000003</v>
      </c>
      <c r="J832">
        <v>1095.6285598033901</v>
      </c>
      <c r="K832" t="s">
        <v>343</v>
      </c>
      <c r="L832" s="9" t="s">
        <v>344</v>
      </c>
      <c r="M832" t="s">
        <v>42</v>
      </c>
      <c r="N832" s="12">
        <v>524.58386534924807</v>
      </c>
      <c r="O832" s="13">
        <v>0.59344065945679358</v>
      </c>
      <c r="P832" s="9" t="s">
        <v>1101</v>
      </c>
      <c r="Q832">
        <v>230.82</v>
      </c>
      <c r="R832">
        <v>230.82</v>
      </c>
      <c r="S832" t="s">
        <v>39</v>
      </c>
      <c r="T832">
        <v>359.38634631340801</v>
      </c>
      <c r="U832">
        <v>56320.08</v>
      </c>
      <c r="V832">
        <v>87690.26850047156</v>
      </c>
      <c r="W832" t="s">
        <v>30</v>
      </c>
      <c r="X832" t="s">
        <v>345</v>
      </c>
      <c r="Y832" t="s">
        <v>1102</v>
      </c>
      <c r="Z832" t="b">
        <v>0</v>
      </c>
      <c r="AA832" t="s">
        <v>44</v>
      </c>
      <c r="AB832" t="s">
        <v>45</v>
      </c>
      <c r="AC832" t="s">
        <v>46</v>
      </c>
    </row>
    <row r="833" spans="2:29" x14ac:dyDescent="0.35">
      <c r="B833" t="s">
        <v>1101</v>
      </c>
      <c r="C833">
        <v>499.71</v>
      </c>
      <c r="D833" t="s">
        <v>39</v>
      </c>
      <c r="E833" s="10">
        <v>778.04761769462402</v>
      </c>
      <c r="F833" t="s">
        <v>30</v>
      </c>
      <c r="G833" s="14">
        <v>46143</v>
      </c>
      <c r="H833">
        <v>6502</v>
      </c>
      <c r="I833">
        <v>3249114.42</v>
      </c>
      <c r="J833">
        <v>328.68856794101799</v>
      </c>
      <c r="K833" t="s">
        <v>343</v>
      </c>
      <c r="L833" s="9" t="s">
        <v>344</v>
      </c>
      <c r="M833" t="s">
        <v>42</v>
      </c>
      <c r="N833" s="12">
        <v>467.62886774009598</v>
      </c>
      <c r="O833" s="13">
        <v>0.60102859658601981</v>
      </c>
      <c r="P833" s="9" t="s">
        <v>1101</v>
      </c>
      <c r="Q833">
        <v>800.05</v>
      </c>
      <c r="R833">
        <v>800.05</v>
      </c>
      <c r="S833" t="s">
        <v>39</v>
      </c>
      <c r="T833">
        <v>1245.67648543472</v>
      </c>
      <c r="U833">
        <v>933658.35</v>
      </c>
      <c r="V833">
        <v>1453704.4585023182</v>
      </c>
      <c r="W833" t="s">
        <v>30</v>
      </c>
      <c r="X833" t="s">
        <v>345</v>
      </c>
      <c r="Y833" t="s">
        <v>1102</v>
      </c>
      <c r="Z833" t="b">
        <v>0</v>
      </c>
      <c r="AA833" t="s">
        <v>44</v>
      </c>
      <c r="AB833" t="s">
        <v>45</v>
      </c>
      <c r="AC833" t="s">
        <v>46</v>
      </c>
    </row>
    <row r="834" spans="2:29" x14ac:dyDescent="0.35">
      <c r="B834" t="s">
        <v>1103</v>
      </c>
      <c r="C834">
        <v>363.37</v>
      </c>
      <c r="D834" t="s">
        <v>39</v>
      </c>
      <c r="E834" s="10">
        <v>565.76647023612804</v>
      </c>
      <c r="F834" t="s">
        <v>30</v>
      </c>
      <c r="G834" s="14">
        <v>46143</v>
      </c>
      <c r="H834">
        <v>17543</v>
      </c>
      <c r="I834">
        <v>6374599.9100000001</v>
      </c>
      <c r="J834">
        <v>12490.2621156529</v>
      </c>
      <c r="K834" t="s">
        <v>343</v>
      </c>
      <c r="L834" s="9" t="s">
        <v>344</v>
      </c>
      <c r="M834" t="s">
        <v>42</v>
      </c>
      <c r="N834" s="12">
        <v>62.279931776000012</v>
      </c>
      <c r="O834" s="13">
        <v>0.11008063406445222</v>
      </c>
      <c r="P834" s="9" t="s">
        <v>1103</v>
      </c>
      <c r="Q834">
        <v>403.37</v>
      </c>
      <c r="R834">
        <v>403.37</v>
      </c>
      <c r="S834" t="s">
        <v>39</v>
      </c>
      <c r="T834">
        <v>628.04640201212806</v>
      </c>
      <c r="U834">
        <v>3358861.99</v>
      </c>
      <c r="V834">
        <v>5229742.3895549905</v>
      </c>
      <c r="W834" t="s">
        <v>30</v>
      </c>
      <c r="X834" t="s">
        <v>345</v>
      </c>
      <c r="Y834" t="s">
        <v>1104</v>
      </c>
      <c r="Z834" t="b">
        <v>0</v>
      </c>
      <c r="AA834" t="s">
        <v>44</v>
      </c>
      <c r="AB834" t="s">
        <v>45</v>
      </c>
      <c r="AC834" t="s">
        <v>46</v>
      </c>
    </row>
    <row r="835" spans="2:29" x14ac:dyDescent="0.35">
      <c r="B835" t="s">
        <v>1103</v>
      </c>
      <c r="C835">
        <v>945.57</v>
      </c>
      <c r="D835" t="s">
        <v>39</v>
      </c>
      <c r="E835" s="10">
        <v>1472.250877235808</v>
      </c>
      <c r="F835" t="s">
        <v>30</v>
      </c>
      <c r="G835" s="14">
        <v>46143</v>
      </c>
      <c r="H835">
        <v>18722</v>
      </c>
      <c r="I835">
        <v>17702961.539999999</v>
      </c>
      <c r="J835">
        <v>35426.828116794699</v>
      </c>
      <c r="K835" t="s">
        <v>343</v>
      </c>
      <c r="L835" s="9" t="s">
        <v>344</v>
      </c>
      <c r="M835" t="s">
        <v>42</v>
      </c>
      <c r="N835" s="12">
        <v>1456.9611539848001</v>
      </c>
      <c r="O835" s="13">
        <v>0.98961472973973375</v>
      </c>
      <c r="P835" s="9" t="s">
        <v>1103</v>
      </c>
      <c r="Q835">
        <v>9.82</v>
      </c>
      <c r="R835">
        <v>9.82</v>
      </c>
      <c r="S835" t="s">
        <v>39</v>
      </c>
      <c r="T835">
        <v>15.289723251008001</v>
      </c>
      <c r="U835">
        <v>64998.58</v>
      </c>
      <c r="V835">
        <v>101202.67819842196</v>
      </c>
      <c r="W835" t="s">
        <v>30</v>
      </c>
      <c r="X835" t="s">
        <v>345</v>
      </c>
      <c r="Y835" t="s">
        <v>1104</v>
      </c>
      <c r="Z835" t="b">
        <v>0</v>
      </c>
      <c r="AA835" t="s">
        <v>44</v>
      </c>
      <c r="AB835" t="s">
        <v>45</v>
      </c>
      <c r="AC835" t="s">
        <v>46</v>
      </c>
    </row>
    <row r="836" spans="2:29" x14ac:dyDescent="0.35">
      <c r="B836" t="s">
        <v>1103</v>
      </c>
      <c r="C836">
        <v>516.77</v>
      </c>
      <c r="D836" t="s">
        <v>39</v>
      </c>
      <c r="E836" s="10">
        <v>804.61000859708804</v>
      </c>
      <c r="F836" t="s">
        <v>30</v>
      </c>
      <c r="G836" s="14">
        <v>46143</v>
      </c>
      <c r="H836">
        <v>6094</v>
      </c>
      <c r="I836">
        <v>3149196.38</v>
      </c>
      <c r="J836">
        <v>18042.060275984801</v>
      </c>
      <c r="K836" t="s">
        <v>343</v>
      </c>
      <c r="L836" s="9" t="s">
        <v>344</v>
      </c>
      <c r="M836" t="s">
        <v>42</v>
      </c>
      <c r="N836" s="12">
        <v>152.39899305587198</v>
      </c>
      <c r="O836" s="13">
        <v>0.18940727983435568</v>
      </c>
      <c r="P836" s="9" t="s">
        <v>1103</v>
      </c>
      <c r="Q836">
        <v>614.65</v>
      </c>
      <c r="R836">
        <v>614.65</v>
      </c>
      <c r="S836" t="s">
        <v>39</v>
      </c>
      <c r="T836">
        <v>957.00900165296002</v>
      </c>
      <c r="U836">
        <v>1671848</v>
      </c>
      <c r="V836">
        <v>2603064.4844960514</v>
      </c>
      <c r="W836" t="s">
        <v>30</v>
      </c>
      <c r="X836" t="s">
        <v>345</v>
      </c>
      <c r="Y836" t="s">
        <v>1104</v>
      </c>
      <c r="Z836" t="b">
        <v>0</v>
      </c>
      <c r="AA836" t="s">
        <v>44</v>
      </c>
      <c r="AB836" t="s">
        <v>45</v>
      </c>
      <c r="AC836" t="s">
        <v>46</v>
      </c>
    </row>
    <row r="837" spans="2:29" x14ac:dyDescent="0.35">
      <c r="B837" t="s">
        <v>1103</v>
      </c>
      <c r="C837">
        <v>455.81</v>
      </c>
      <c r="D837" t="s">
        <v>39</v>
      </c>
      <c r="E837" s="10">
        <v>709.69539257046404</v>
      </c>
      <c r="F837" t="s">
        <v>30</v>
      </c>
      <c r="G837" s="14">
        <v>46143</v>
      </c>
      <c r="H837">
        <v>10193</v>
      </c>
      <c r="I837">
        <v>4646071.33</v>
      </c>
      <c r="J837">
        <v>2270.9442923141801</v>
      </c>
      <c r="K837" t="s">
        <v>343</v>
      </c>
      <c r="L837" s="9" t="s">
        <v>344</v>
      </c>
      <c r="M837" t="s">
        <v>42</v>
      </c>
      <c r="N837" s="12">
        <v>231.61906627494409</v>
      </c>
      <c r="O837" s="13">
        <v>0.32636405519843803</v>
      </c>
      <c r="P837" s="9" t="s">
        <v>1103</v>
      </c>
      <c r="Q837">
        <v>604.57000000000005</v>
      </c>
      <c r="R837">
        <v>604.57000000000005</v>
      </c>
      <c r="S837" t="s">
        <v>39</v>
      </c>
      <c r="T837">
        <v>941.31445884540813</v>
      </c>
      <c r="U837">
        <v>6520892.0200000005</v>
      </c>
      <c r="V837">
        <v>10153017.753106572</v>
      </c>
      <c r="W837" t="s">
        <v>30</v>
      </c>
      <c r="X837" t="s">
        <v>345</v>
      </c>
      <c r="Y837" t="s">
        <v>1104</v>
      </c>
      <c r="Z837" t="b">
        <v>0</v>
      </c>
      <c r="AA837" t="s">
        <v>44</v>
      </c>
      <c r="AB837" t="s">
        <v>45</v>
      </c>
      <c r="AC837" t="s">
        <v>46</v>
      </c>
    </row>
    <row r="838" spans="2:29" x14ac:dyDescent="0.35">
      <c r="B838" t="s">
        <v>1105</v>
      </c>
      <c r="C838">
        <v>126.95</v>
      </c>
      <c r="D838" t="s">
        <v>39</v>
      </c>
      <c r="E838" s="10">
        <v>197.66093347408</v>
      </c>
      <c r="F838" t="s">
        <v>30</v>
      </c>
      <c r="G838" s="14">
        <v>46143</v>
      </c>
      <c r="H838">
        <v>8590</v>
      </c>
      <c r="I838">
        <v>1090500.5</v>
      </c>
      <c r="J838">
        <v>2425.0310715211799</v>
      </c>
      <c r="K838" t="s">
        <v>343</v>
      </c>
      <c r="L838" s="9" t="s">
        <v>344</v>
      </c>
      <c r="M838" t="s">
        <v>42</v>
      </c>
      <c r="N838" s="12">
        <v>259.41148582998403</v>
      </c>
      <c r="O838" s="13">
        <v>1.3124064592359199</v>
      </c>
      <c r="P838" s="9" t="s">
        <v>1105</v>
      </c>
      <c r="Q838">
        <v>293.56</v>
      </c>
      <c r="R838">
        <v>293.56</v>
      </c>
      <c r="S838" t="s">
        <v>39</v>
      </c>
      <c r="T838">
        <v>457.072419304064</v>
      </c>
      <c r="U838">
        <v>3473108.36</v>
      </c>
      <c r="V838">
        <v>5407623.7927863812</v>
      </c>
      <c r="W838" t="s">
        <v>30</v>
      </c>
      <c r="X838" t="s">
        <v>345</v>
      </c>
      <c r="Y838" t="s">
        <v>1106</v>
      </c>
      <c r="Z838" t="b">
        <v>0</v>
      </c>
      <c r="AA838" t="s">
        <v>44</v>
      </c>
      <c r="AB838" t="s">
        <v>45</v>
      </c>
      <c r="AC838" t="s">
        <v>46</v>
      </c>
    </row>
    <row r="839" spans="2:29" x14ac:dyDescent="0.35">
      <c r="B839" t="s">
        <v>1105</v>
      </c>
      <c r="C839">
        <v>614.91999999999996</v>
      </c>
      <c r="D839" t="s">
        <v>39</v>
      </c>
      <c r="E839" s="10">
        <v>957.42939119244795</v>
      </c>
      <c r="F839" t="s">
        <v>30</v>
      </c>
      <c r="G839" s="14">
        <v>46143</v>
      </c>
      <c r="H839">
        <v>15100</v>
      </c>
      <c r="I839">
        <v>9285292</v>
      </c>
      <c r="J839">
        <v>2425.0310715211799</v>
      </c>
      <c r="K839" t="s">
        <v>343</v>
      </c>
      <c r="L839" s="9" t="s">
        <v>344</v>
      </c>
      <c r="M839" t="s">
        <v>42</v>
      </c>
      <c r="N839" s="12">
        <v>261.96496303280003</v>
      </c>
      <c r="O839" s="13">
        <v>0.27361282768490214</v>
      </c>
      <c r="P839" s="9" t="s">
        <v>1105</v>
      </c>
      <c r="Q839">
        <v>783.17</v>
      </c>
      <c r="R839">
        <v>783.17</v>
      </c>
      <c r="S839" t="s">
        <v>39</v>
      </c>
      <c r="T839">
        <v>1219.394354225248</v>
      </c>
      <c r="U839">
        <v>1802857.3399999999</v>
      </c>
      <c r="V839">
        <v>2807045.8034265209</v>
      </c>
      <c r="W839" t="s">
        <v>30</v>
      </c>
      <c r="X839" t="s">
        <v>345</v>
      </c>
      <c r="Y839" t="s">
        <v>1106</v>
      </c>
      <c r="Z839" t="b">
        <v>0</v>
      </c>
      <c r="AA839" t="s">
        <v>44</v>
      </c>
      <c r="AB839" t="s">
        <v>45</v>
      </c>
      <c r="AC839" t="s">
        <v>46</v>
      </c>
    </row>
    <row r="840" spans="2:29" x14ac:dyDescent="0.35">
      <c r="B840" t="s">
        <v>1105</v>
      </c>
      <c r="C840">
        <v>532.91999999999996</v>
      </c>
      <c r="D840" t="s">
        <v>39</v>
      </c>
      <c r="E840" s="10">
        <v>829.75553105164795</v>
      </c>
      <c r="F840" t="s">
        <v>30</v>
      </c>
      <c r="G840" s="14">
        <v>46143</v>
      </c>
      <c r="H840">
        <v>5098</v>
      </c>
      <c r="I840">
        <v>2716826.1599999997</v>
      </c>
      <c r="J840">
        <v>2425.0310715211799</v>
      </c>
      <c r="K840" t="s">
        <v>343</v>
      </c>
      <c r="L840" s="9" t="s">
        <v>344</v>
      </c>
      <c r="M840" t="s">
        <v>42</v>
      </c>
      <c r="N840" s="12">
        <v>584.46601975187195</v>
      </c>
      <c r="O840" s="13">
        <v>0.70438339713277787</v>
      </c>
      <c r="P840" s="9" t="s">
        <v>1105</v>
      </c>
      <c r="Q840">
        <v>908.3</v>
      </c>
      <c r="R840">
        <v>908.3</v>
      </c>
      <c r="S840" t="s">
        <v>39</v>
      </c>
      <c r="T840">
        <v>1414.2215508035199</v>
      </c>
      <c r="U840">
        <v>6343567.1999999993</v>
      </c>
      <c r="V840">
        <v>9876923.3108117823</v>
      </c>
      <c r="W840" t="s">
        <v>30</v>
      </c>
      <c r="X840" t="s">
        <v>345</v>
      </c>
      <c r="Y840" t="s">
        <v>1106</v>
      </c>
      <c r="Z840" t="b">
        <v>0</v>
      </c>
      <c r="AA840" t="s">
        <v>44</v>
      </c>
      <c r="AB840" t="s">
        <v>45</v>
      </c>
      <c r="AC840" t="s">
        <v>46</v>
      </c>
    </row>
    <row r="841" spans="2:29" x14ac:dyDescent="0.35">
      <c r="B841" t="s">
        <v>1107</v>
      </c>
      <c r="C841">
        <v>864.6</v>
      </c>
      <c r="D841" t="s">
        <v>39</v>
      </c>
      <c r="E841" s="10">
        <v>1346.1807253382401</v>
      </c>
      <c r="F841" t="s">
        <v>30</v>
      </c>
      <c r="G841" s="14">
        <v>46143</v>
      </c>
      <c r="H841">
        <v>9572</v>
      </c>
      <c r="I841">
        <v>8275951.2000000002</v>
      </c>
      <c r="J841">
        <v>2656.4882099735</v>
      </c>
      <c r="K841" t="s">
        <v>343</v>
      </c>
      <c r="L841" s="9" t="s">
        <v>344</v>
      </c>
      <c r="M841" t="s">
        <v>42</v>
      </c>
      <c r="N841" s="12">
        <v>66.732946897983993</v>
      </c>
      <c r="O841" s="13">
        <v>4.9572056442285441E-2</v>
      </c>
      <c r="P841" s="9" t="s">
        <v>1107</v>
      </c>
      <c r="Q841">
        <v>907.46</v>
      </c>
      <c r="R841">
        <v>907.46</v>
      </c>
      <c r="S841" t="s">
        <v>39</v>
      </c>
      <c r="T841">
        <v>1412.9136722362241</v>
      </c>
      <c r="U841">
        <v>6788708.2600000007</v>
      </c>
      <c r="V841">
        <v>10570007.181999192</v>
      </c>
      <c r="W841" t="s">
        <v>30</v>
      </c>
      <c r="X841" t="s">
        <v>345</v>
      </c>
      <c r="Y841" t="s">
        <v>1108</v>
      </c>
      <c r="Z841" t="b">
        <v>0</v>
      </c>
      <c r="AA841" t="s">
        <v>44</v>
      </c>
      <c r="AB841" t="s">
        <v>45</v>
      </c>
      <c r="AC841" t="s">
        <v>158</v>
      </c>
    </row>
    <row r="842" spans="2:29" x14ac:dyDescent="0.35">
      <c r="B842" t="s">
        <v>1107</v>
      </c>
      <c r="C842">
        <v>749.95</v>
      </c>
      <c r="D842" t="s">
        <v>39</v>
      </c>
      <c r="E842" s="10">
        <v>1167.67087088528</v>
      </c>
      <c r="F842" t="s">
        <v>30</v>
      </c>
      <c r="G842" s="14">
        <v>46143</v>
      </c>
      <c r="H842">
        <v>7357</v>
      </c>
      <c r="I842">
        <v>5517382.1500000004</v>
      </c>
      <c r="J842">
        <v>2656.4882099735</v>
      </c>
      <c r="K842" t="s">
        <v>343</v>
      </c>
      <c r="L842" s="9" t="s">
        <v>344</v>
      </c>
      <c r="M842" t="s">
        <v>42</v>
      </c>
      <c r="N842" s="12">
        <v>537.63151105632005</v>
      </c>
      <c r="O842" s="13">
        <v>0.460430695379692</v>
      </c>
      <c r="P842" s="9" t="s">
        <v>1107</v>
      </c>
      <c r="Q842">
        <v>404.65</v>
      </c>
      <c r="R842">
        <v>404.65</v>
      </c>
      <c r="S842" t="s">
        <v>39</v>
      </c>
      <c r="T842">
        <v>630.03935982895996</v>
      </c>
      <c r="U842">
        <v>449970.8</v>
      </c>
      <c r="V842">
        <v>700603.76812980347</v>
      </c>
      <c r="W842" t="s">
        <v>30</v>
      </c>
      <c r="X842" t="s">
        <v>345</v>
      </c>
      <c r="Y842" t="s">
        <v>1108</v>
      </c>
      <c r="Z842" t="b">
        <v>0</v>
      </c>
      <c r="AA842" t="s">
        <v>44</v>
      </c>
      <c r="AB842" t="s">
        <v>45</v>
      </c>
      <c r="AC842" t="s">
        <v>158</v>
      </c>
    </row>
    <row r="843" spans="2:29" x14ac:dyDescent="0.35">
      <c r="B843" t="s">
        <v>1107</v>
      </c>
      <c r="C843">
        <v>382.58</v>
      </c>
      <c r="D843" t="s">
        <v>39</v>
      </c>
      <c r="E843" s="10">
        <v>595.67640747155201</v>
      </c>
      <c r="F843" t="s">
        <v>30</v>
      </c>
      <c r="G843" s="14">
        <v>46143</v>
      </c>
      <c r="H843">
        <v>11214</v>
      </c>
      <c r="I843">
        <v>4290252.12</v>
      </c>
      <c r="J843">
        <v>3123.8990979523801</v>
      </c>
      <c r="K843" t="s">
        <v>343</v>
      </c>
      <c r="L843" s="9" t="s">
        <v>344</v>
      </c>
      <c r="M843" t="s">
        <v>42</v>
      </c>
      <c r="N843" s="12">
        <v>370.70572391369603</v>
      </c>
      <c r="O843" s="13">
        <v>0.62232735636990966</v>
      </c>
      <c r="P843" s="9" t="s">
        <v>1107</v>
      </c>
      <c r="Q843">
        <v>144.49</v>
      </c>
      <c r="R843">
        <v>144.49</v>
      </c>
      <c r="S843" t="s">
        <v>39</v>
      </c>
      <c r="T843">
        <v>224.97068355785601</v>
      </c>
      <c r="U843">
        <v>2507768.44</v>
      </c>
      <c r="V843">
        <v>3904591.183830149</v>
      </c>
      <c r="W843" t="s">
        <v>30</v>
      </c>
      <c r="X843" t="s">
        <v>345</v>
      </c>
      <c r="Y843" t="s">
        <v>1108</v>
      </c>
      <c r="Z843" t="b">
        <v>0</v>
      </c>
      <c r="AA843" t="s">
        <v>44</v>
      </c>
      <c r="AB843" t="s">
        <v>45</v>
      </c>
      <c r="AC843" t="s">
        <v>158</v>
      </c>
    </row>
    <row r="844" spans="2:29" x14ac:dyDescent="0.35">
      <c r="B844" t="s">
        <v>1107</v>
      </c>
      <c r="C844">
        <v>856.67</v>
      </c>
      <c r="D844" t="s">
        <v>39</v>
      </c>
      <c r="E844" s="10">
        <v>1333.833728863648</v>
      </c>
      <c r="F844" t="s">
        <v>30</v>
      </c>
      <c r="G844" s="14">
        <v>46143</v>
      </c>
      <c r="H844">
        <v>12137</v>
      </c>
      <c r="I844">
        <v>10397403.789999999</v>
      </c>
      <c r="J844">
        <v>2656.4882099735</v>
      </c>
      <c r="K844" t="s">
        <v>343</v>
      </c>
      <c r="L844" s="9" t="s">
        <v>344</v>
      </c>
      <c r="M844" t="s">
        <v>42</v>
      </c>
      <c r="N844" s="12">
        <v>896.05251842720008</v>
      </c>
      <c r="O844" s="13">
        <v>0.67178726931023613</v>
      </c>
      <c r="P844" s="9" t="s">
        <v>1107</v>
      </c>
      <c r="Q844">
        <v>281.17</v>
      </c>
      <c r="R844">
        <v>281.17</v>
      </c>
      <c r="S844" t="s">
        <v>39</v>
      </c>
      <c r="T844">
        <v>437.78121043644802</v>
      </c>
      <c r="U844">
        <v>450153.17000000004</v>
      </c>
      <c r="V844">
        <v>700887.71790875331</v>
      </c>
      <c r="W844" t="s">
        <v>30</v>
      </c>
      <c r="X844" t="s">
        <v>345</v>
      </c>
      <c r="Y844" t="s">
        <v>1108</v>
      </c>
      <c r="Z844" t="b">
        <v>0</v>
      </c>
      <c r="AA844" t="s">
        <v>44</v>
      </c>
      <c r="AB844" t="s">
        <v>45</v>
      </c>
      <c r="AC844" t="s">
        <v>158</v>
      </c>
    </row>
    <row r="845" spans="2:29" x14ac:dyDescent="0.35">
      <c r="B845" t="s">
        <v>1107</v>
      </c>
      <c r="C845">
        <v>107.68</v>
      </c>
      <c r="D845" t="s">
        <v>39</v>
      </c>
      <c r="E845" s="10">
        <v>167.65757634099202</v>
      </c>
      <c r="F845" t="s">
        <v>30</v>
      </c>
      <c r="G845" s="14">
        <v>46143</v>
      </c>
      <c r="H845">
        <v>7964</v>
      </c>
      <c r="I845">
        <v>857563.52</v>
      </c>
      <c r="J845">
        <v>3123.8990979523801</v>
      </c>
      <c r="K845" t="s">
        <v>343</v>
      </c>
      <c r="L845" s="9" t="s">
        <v>344</v>
      </c>
      <c r="M845" t="s">
        <v>42</v>
      </c>
      <c r="N845" s="12">
        <v>1097.1388481489603</v>
      </c>
      <c r="O845" s="13">
        <v>6.5439264487369995</v>
      </c>
      <c r="P845" s="9" t="s">
        <v>1107</v>
      </c>
      <c r="Q845">
        <v>812.33</v>
      </c>
      <c r="R845">
        <v>812.33</v>
      </c>
      <c r="S845" t="s">
        <v>39</v>
      </c>
      <c r="T845">
        <v>1264.7964244899522</v>
      </c>
      <c r="U845">
        <v>11981867.5</v>
      </c>
      <c r="V845">
        <v>18655747.261226796</v>
      </c>
      <c r="W845" t="s">
        <v>30</v>
      </c>
      <c r="X845" t="s">
        <v>345</v>
      </c>
      <c r="Y845" t="s">
        <v>1108</v>
      </c>
      <c r="Z845" t="b">
        <v>0</v>
      </c>
      <c r="AA845" t="s">
        <v>44</v>
      </c>
      <c r="AB845" t="s">
        <v>45</v>
      </c>
      <c r="AC845" t="s">
        <v>158</v>
      </c>
    </row>
    <row r="846" spans="2:29" x14ac:dyDescent="0.35">
      <c r="B846" t="s">
        <v>1107</v>
      </c>
      <c r="C846">
        <v>532.35</v>
      </c>
      <c r="D846" t="s">
        <v>39</v>
      </c>
      <c r="E846" s="10">
        <v>828.86804202384008</v>
      </c>
      <c r="F846" t="s">
        <v>30</v>
      </c>
      <c r="G846" s="14">
        <v>46143</v>
      </c>
      <c r="H846">
        <v>1478</v>
      </c>
      <c r="I846">
        <v>786813.3</v>
      </c>
      <c r="J846">
        <v>2656.4882099735</v>
      </c>
      <c r="K846" t="s">
        <v>343</v>
      </c>
      <c r="L846" s="9" t="s">
        <v>344</v>
      </c>
      <c r="M846" t="s">
        <v>42</v>
      </c>
      <c r="N846" s="12">
        <v>92.532408636192031</v>
      </c>
      <c r="O846" s="13">
        <v>0.11163708086785012</v>
      </c>
      <c r="P846" s="9" t="s">
        <v>1107</v>
      </c>
      <c r="Q846">
        <v>472.92</v>
      </c>
      <c r="R846">
        <v>472.92</v>
      </c>
      <c r="S846" t="s">
        <v>39</v>
      </c>
      <c r="T846">
        <v>736.33563338764804</v>
      </c>
      <c r="U846">
        <v>5184149.04</v>
      </c>
      <c r="V846">
        <v>8071711.2131953975</v>
      </c>
      <c r="W846" t="s">
        <v>30</v>
      </c>
      <c r="X846" t="s">
        <v>345</v>
      </c>
      <c r="Y846" t="s">
        <v>1108</v>
      </c>
      <c r="Z846" t="b">
        <v>0</v>
      </c>
      <c r="AA846" t="s">
        <v>44</v>
      </c>
      <c r="AB846" t="s">
        <v>45</v>
      </c>
      <c r="AC846" t="s">
        <v>158</v>
      </c>
    </row>
    <row r="847" spans="2:29" x14ac:dyDescent="0.35">
      <c r="B847" t="s">
        <v>1109</v>
      </c>
      <c r="C847">
        <v>509.29</v>
      </c>
      <c r="D847" t="s">
        <v>39</v>
      </c>
      <c r="E847" s="10">
        <v>792.96366135497601</v>
      </c>
      <c r="F847" t="s">
        <v>30</v>
      </c>
      <c r="G847" s="14">
        <v>46143</v>
      </c>
      <c r="H847">
        <v>899</v>
      </c>
      <c r="I847">
        <v>457851.71</v>
      </c>
      <c r="J847">
        <v>986.06570382305301</v>
      </c>
      <c r="K847" t="s">
        <v>343</v>
      </c>
      <c r="L847" s="9" t="s">
        <v>344</v>
      </c>
      <c r="M847" t="s">
        <v>42</v>
      </c>
      <c r="N847" s="12">
        <v>63.72794018979198</v>
      </c>
      <c r="O847" s="13">
        <v>8.0366785132242893E-2</v>
      </c>
      <c r="P847" s="9" t="s">
        <v>1109</v>
      </c>
      <c r="Q847">
        <v>468.36</v>
      </c>
      <c r="R847">
        <v>468.36</v>
      </c>
      <c r="S847" t="s">
        <v>39</v>
      </c>
      <c r="T847">
        <v>729.23572116518403</v>
      </c>
      <c r="U847">
        <v>7908726.96</v>
      </c>
      <c r="V847">
        <v>12313874.387595298</v>
      </c>
      <c r="W847" t="s">
        <v>30</v>
      </c>
      <c r="X847" t="s">
        <v>345</v>
      </c>
      <c r="Y847" t="s">
        <v>1110</v>
      </c>
      <c r="Z847" t="b">
        <v>0</v>
      </c>
      <c r="AA847" t="s">
        <v>44</v>
      </c>
      <c r="AB847" t="s">
        <v>45</v>
      </c>
      <c r="AC847" t="s">
        <v>46</v>
      </c>
    </row>
    <row r="848" spans="2:29" x14ac:dyDescent="0.35">
      <c r="B848" t="s">
        <v>1109</v>
      </c>
      <c r="C848">
        <v>249.35</v>
      </c>
      <c r="D848" t="s">
        <v>39</v>
      </c>
      <c r="E848" s="10">
        <v>388.23752470864002</v>
      </c>
      <c r="F848" t="s">
        <v>30</v>
      </c>
      <c r="G848" s="14">
        <v>46143</v>
      </c>
      <c r="H848">
        <v>13527</v>
      </c>
      <c r="I848">
        <v>3372957.4499999997</v>
      </c>
      <c r="J848">
        <v>438.251423921357</v>
      </c>
      <c r="K848" t="s">
        <v>343</v>
      </c>
      <c r="L848" s="9" t="s">
        <v>344</v>
      </c>
      <c r="M848" t="s">
        <v>42</v>
      </c>
      <c r="N848" s="12">
        <v>7.2867520177920255</v>
      </c>
      <c r="O848" s="13">
        <v>1.8768798877080474E-2</v>
      </c>
      <c r="P848" s="9" t="s">
        <v>1109</v>
      </c>
      <c r="Q848">
        <v>244.67</v>
      </c>
      <c r="R848">
        <v>244.67</v>
      </c>
      <c r="S848" t="s">
        <v>39</v>
      </c>
      <c r="T848">
        <v>380.950772690848</v>
      </c>
      <c r="U848">
        <v>1448446.4</v>
      </c>
      <c r="V848">
        <v>2255228.57432982</v>
      </c>
      <c r="W848" t="s">
        <v>30</v>
      </c>
      <c r="X848" t="s">
        <v>345</v>
      </c>
      <c r="Y848" t="s">
        <v>1110</v>
      </c>
      <c r="Z848" t="b">
        <v>0</v>
      </c>
      <c r="AA848" t="s">
        <v>44</v>
      </c>
      <c r="AB848" t="s">
        <v>45</v>
      </c>
      <c r="AC848" t="s">
        <v>46</v>
      </c>
    </row>
    <row r="849" spans="2:29" x14ac:dyDescent="0.35">
      <c r="B849" t="s">
        <v>1111</v>
      </c>
      <c r="C849">
        <v>123.25</v>
      </c>
      <c r="D849" t="s">
        <v>39</v>
      </c>
      <c r="E849" s="10">
        <v>191.90003978480001</v>
      </c>
      <c r="F849" t="s">
        <v>30</v>
      </c>
      <c r="G849" s="14">
        <v>46143</v>
      </c>
      <c r="H849">
        <v>16296</v>
      </c>
      <c r="I849">
        <v>2008482</v>
      </c>
      <c r="J849">
        <v>5876.06983551131</v>
      </c>
      <c r="K849" t="s">
        <v>343</v>
      </c>
      <c r="L849" s="9" t="s">
        <v>344</v>
      </c>
      <c r="M849" t="s">
        <v>42</v>
      </c>
      <c r="N849" s="12">
        <v>26.609100851296006</v>
      </c>
      <c r="O849" s="13">
        <v>0.1386612576064909</v>
      </c>
      <c r="P849" s="9" t="s">
        <v>1111</v>
      </c>
      <c r="Q849">
        <v>106.16</v>
      </c>
      <c r="R849">
        <v>106.16</v>
      </c>
      <c r="S849" t="s">
        <v>39</v>
      </c>
      <c r="T849">
        <v>165.29093893350401</v>
      </c>
      <c r="U849">
        <v>76541.36</v>
      </c>
      <c r="V849">
        <v>119174.76697105639</v>
      </c>
      <c r="W849" t="s">
        <v>30</v>
      </c>
      <c r="X849" t="s">
        <v>345</v>
      </c>
      <c r="Y849" t="s">
        <v>1112</v>
      </c>
      <c r="Z849" t="b">
        <v>0</v>
      </c>
      <c r="AA849" t="s">
        <v>44</v>
      </c>
      <c r="AB849" t="s">
        <v>45</v>
      </c>
      <c r="AC849" t="s">
        <v>771</v>
      </c>
    </row>
    <row r="850" spans="2:29" x14ac:dyDescent="0.35">
      <c r="B850" t="s">
        <v>1111</v>
      </c>
      <c r="C850">
        <v>81.790000000000006</v>
      </c>
      <c r="D850" t="s">
        <v>39</v>
      </c>
      <c r="E850" s="10">
        <v>127.34689049897601</v>
      </c>
      <c r="F850" t="s">
        <v>30</v>
      </c>
      <c r="G850" s="14">
        <v>46143</v>
      </c>
      <c r="H850">
        <v>18286</v>
      </c>
      <c r="I850">
        <v>1495611.9400000002</v>
      </c>
      <c r="J850">
        <v>13814.656542356801</v>
      </c>
      <c r="K850" t="s">
        <v>343</v>
      </c>
      <c r="L850" s="9" t="s">
        <v>344</v>
      </c>
      <c r="M850" t="s">
        <v>42</v>
      </c>
      <c r="N850" s="12">
        <v>555.50585147603203</v>
      </c>
      <c r="O850" s="13">
        <v>4.3621469617312627</v>
      </c>
      <c r="P850" s="9" t="s">
        <v>1111</v>
      </c>
      <c r="Q850">
        <v>438.57</v>
      </c>
      <c r="R850">
        <v>438.57</v>
      </c>
      <c r="S850" t="s">
        <v>39</v>
      </c>
      <c r="T850">
        <v>682.85274197500803</v>
      </c>
      <c r="U850">
        <v>1919182.32</v>
      </c>
      <c r="V850">
        <v>2988163.5988826351</v>
      </c>
      <c r="W850" t="s">
        <v>30</v>
      </c>
      <c r="X850" t="s">
        <v>345</v>
      </c>
      <c r="Y850" t="s">
        <v>1112</v>
      </c>
      <c r="Z850" t="b">
        <v>0</v>
      </c>
      <c r="AA850" t="s">
        <v>44</v>
      </c>
      <c r="AB850" t="s">
        <v>45</v>
      </c>
      <c r="AC850" t="s">
        <v>771</v>
      </c>
    </row>
    <row r="851" spans="2:29" x14ac:dyDescent="0.35">
      <c r="B851" t="s">
        <v>1111</v>
      </c>
      <c r="C851">
        <v>641.89</v>
      </c>
      <c r="D851" t="s">
        <v>39</v>
      </c>
      <c r="E851" s="10">
        <v>999.42163519241603</v>
      </c>
      <c r="F851" t="s">
        <v>30</v>
      </c>
      <c r="G851" s="14">
        <v>46143</v>
      </c>
      <c r="H851">
        <v>16499</v>
      </c>
      <c r="I851">
        <v>10590543.109999999</v>
      </c>
      <c r="J851">
        <v>19690.749888542301</v>
      </c>
      <c r="K851" t="s">
        <v>343</v>
      </c>
      <c r="L851" s="9" t="s">
        <v>344</v>
      </c>
      <c r="M851" t="s">
        <v>42</v>
      </c>
      <c r="N851" s="12">
        <v>481.33045273081598</v>
      </c>
      <c r="O851" s="13">
        <v>0.48160899842652166</v>
      </c>
      <c r="P851" s="9" t="s">
        <v>1111</v>
      </c>
      <c r="Q851">
        <v>951.03</v>
      </c>
      <c r="R851">
        <v>951.03</v>
      </c>
      <c r="S851" t="s">
        <v>39</v>
      </c>
      <c r="T851">
        <v>1480.752087923232</v>
      </c>
      <c r="U851">
        <v>9703359.0899999999</v>
      </c>
      <c r="V851">
        <v>15108113.553080736</v>
      </c>
      <c r="W851" t="s">
        <v>30</v>
      </c>
      <c r="X851" t="s">
        <v>345</v>
      </c>
      <c r="Y851" t="s">
        <v>1112</v>
      </c>
      <c r="Z851" t="b">
        <v>0</v>
      </c>
      <c r="AA851" t="s">
        <v>44</v>
      </c>
      <c r="AB851" t="s">
        <v>45</v>
      </c>
      <c r="AC851" t="s">
        <v>771</v>
      </c>
    </row>
    <row r="852" spans="2:29" x14ac:dyDescent="0.35">
      <c r="B852" t="s">
        <v>1111</v>
      </c>
      <c r="C852">
        <v>710.25</v>
      </c>
      <c r="D852" t="s">
        <v>39</v>
      </c>
      <c r="E852" s="10">
        <v>1105.8580385975999</v>
      </c>
      <c r="F852" t="s">
        <v>30</v>
      </c>
      <c r="G852" s="14">
        <v>46143</v>
      </c>
      <c r="H852">
        <v>19341</v>
      </c>
      <c r="I852">
        <v>13736945.25</v>
      </c>
      <c r="J852">
        <v>17122.3912074281</v>
      </c>
      <c r="K852" t="s">
        <v>343</v>
      </c>
      <c r="L852" s="9" t="s">
        <v>344</v>
      </c>
      <c r="M852" t="s">
        <v>42</v>
      </c>
      <c r="N852" s="12">
        <v>790.20777437388801</v>
      </c>
      <c r="O852" s="13">
        <v>0.71456529391059487</v>
      </c>
      <c r="P852" s="9" t="s">
        <v>1111</v>
      </c>
      <c r="Q852">
        <v>202.73</v>
      </c>
      <c r="R852">
        <v>202.73</v>
      </c>
      <c r="S852" t="s">
        <v>39</v>
      </c>
      <c r="T852">
        <v>315.65026422371199</v>
      </c>
      <c r="U852">
        <v>450668.79</v>
      </c>
      <c r="V852">
        <v>701690.53736931179</v>
      </c>
      <c r="W852" t="s">
        <v>30</v>
      </c>
      <c r="X852" t="s">
        <v>345</v>
      </c>
      <c r="Y852" t="s">
        <v>1112</v>
      </c>
      <c r="Z852" t="b">
        <v>0</v>
      </c>
      <c r="AA852" t="s">
        <v>44</v>
      </c>
      <c r="AB852" t="s">
        <v>45</v>
      </c>
      <c r="AC852" t="s">
        <v>771</v>
      </c>
    </row>
    <row r="853" spans="2:29" x14ac:dyDescent="0.35">
      <c r="B853" t="s">
        <v>1111</v>
      </c>
      <c r="C853">
        <v>911.4</v>
      </c>
      <c r="D853" t="s">
        <v>39</v>
      </c>
      <c r="E853" s="10">
        <v>1419.04824551616</v>
      </c>
      <c r="F853" t="s">
        <v>30</v>
      </c>
      <c r="G853" s="14">
        <v>46143</v>
      </c>
      <c r="H853">
        <v>17946</v>
      </c>
      <c r="I853">
        <v>16355984.4</v>
      </c>
      <c r="J853">
        <v>17122.3912074281</v>
      </c>
      <c r="K853" t="s">
        <v>343</v>
      </c>
      <c r="L853" s="9" t="s">
        <v>344</v>
      </c>
      <c r="M853" t="s">
        <v>42</v>
      </c>
      <c r="N853" s="12">
        <v>150.29704535843189</v>
      </c>
      <c r="O853" s="13">
        <v>0.10591397849462357</v>
      </c>
      <c r="P853" s="9" t="s">
        <v>1111</v>
      </c>
      <c r="Q853">
        <v>814.87</v>
      </c>
      <c r="R853">
        <v>814.87</v>
      </c>
      <c r="S853" t="s">
        <v>39</v>
      </c>
      <c r="T853">
        <v>1268.7512001577281</v>
      </c>
      <c r="U853">
        <v>3250516.43</v>
      </c>
      <c r="V853">
        <v>5061048.5374291772</v>
      </c>
      <c r="W853" t="s">
        <v>30</v>
      </c>
      <c r="X853" t="s">
        <v>345</v>
      </c>
      <c r="Y853" t="s">
        <v>1112</v>
      </c>
      <c r="Z853" t="b">
        <v>0</v>
      </c>
      <c r="AA853" t="s">
        <v>44</v>
      </c>
      <c r="AB853" t="s">
        <v>45</v>
      </c>
      <c r="AC853" t="s">
        <v>771</v>
      </c>
    </row>
    <row r="854" spans="2:29" x14ac:dyDescent="0.35">
      <c r="B854" t="s">
        <v>1111</v>
      </c>
      <c r="C854">
        <v>940.81</v>
      </c>
      <c r="D854" t="s">
        <v>39</v>
      </c>
      <c r="E854" s="10">
        <v>1464.839565354464</v>
      </c>
      <c r="F854" t="s">
        <v>30</v>
      </c>
      <c r="G854" s="14">
        <v>46143</v>
      </c>
      <c r="H854">
        <v>19707</v>
      </c>
      <c r="I854">
        <v>18540542.669999998</v>
      </c>
      <c r="J854">
        <v>18834.630328170901</v>
      </c>
      <c r="K854" t="s">
        <v>343</v>
      </c>
      <c r="L854" s="9" t="s">
        <v>344</v>
      </c>
      <c r="M854" t="s">
        <v>42</v>
      </c>
      <c r="N854" s="12">
        <v>1146.090874524896</v>
      </c>
      <c r="O854" s="13">
        <v>0.78240027210595131</v>
      </c>
      <c r="P854" s="9" t="s">
        <v>1111</v>
      </c>
      <c r="Q854">
        <v>204.72</v>
      </c>
      <c r="R854">
        <v>204.72</v>
      </c>
      <c r="S854" t="s">
        <v>39</v>
      </c>
      <c r="T854">
        <v>318.74869082956803</v>
      </c>
      <c r="U854">
        <v>78203.039999999994</v>
      </c>
      <c r="V854">
        <v>121761.99989689499</v>
      </c>
      <c r="W854" t="s">
        <v>30</v>
      </c>
      <c r="X854" t="s">
        <v>345</v>
      </c>
      <c r="Y854" t="s">
        <v>1112</v>
      </c>
      <c r="Z854" t="b">
        <v>0</v>
      </c>
      <c r="AA854" t="s">
        <v>44</v>
      </c>
      <c r="AB854" t="s">
        <v>45</v>
      </c>
      <c r="AC854" t="s">
        <v>771</v>
      </c>
    </row>
    <row r="855" spans="2:29" x14ac:dyDescent="0.35">
      <c r="B855" t="s">
        <v>1111</v>
      </c>
      <c r="C855">
        <v>3.82</v>
      </c>
      <c r="D855" t="s">
        <v>39</v>
      </c>
      <c r="E855" s="10">
        <v>5.9477334846080003</v>
      </c>
      <c r="F855" t="s">
        <v>30</v>
      </c>
      <c r="G855" s="14">
        <v>46143</v>
      </c>
      <c r="H855">
        <v>19363</v>
      </c>
      <c r="I855">
        <v>73966.66</v>
      </c>
      <c r="J855">
        <v>18834.630328170901</v>
      </c>
      <c r="K855" t="s">
        <v>343</v>
      </c>
      <c r="L855" s="9" t="s">
        <v>344</v>
      </c>
      <c r="M855" t="s">
        <v>42</v>
      </c>
      <c r="N855" s="12">
        <v>286.58110606726399</v>
      </c>
      <c r="O855" s="13">
        <v>48.183246073298427</v>
      </c>
      <c r="P855" s="9" t="s">
        <v>1111</v>
      </c>
      <c r="Q855">
        <v>187.88</v>
      </c>
      <c r="R855">
        <v>187.88</v>
      </c>
      <c r="S855" t="s">
        <v>39</v>
      </c>
      <c r="T855">
        <v>292.52883955187201</v>
      </c>
      <c r="U855">
        <v>3064322.8</v>
      </c>
      <c r="V855">
        <v>4771145.3730910327</v>
      </c>
      <c r="W855" t="s">
        <v>30</v>
      </c>
      <c r="X855" t="s">
        <v>345</v>
      </c>
      <c r="Y855" t="s">
        <v>1112</v>
      </c>
      <c r="Z855" t="b">
        <v>0</v>
      </c>
      <c r="AA855" t="s">
        <v>44</v>
      </c>
      <c r="AB855" t="s">
        <v>45</v>
      </c>
      <c r="AC855" t="s">
        <v>771</v>
      </c>
    </row>
    <row r="856" spans="2:29" x14ac:dyDescent="0.35">
      <c r="B856" t="s">
        <v>1111</v>
      </c>
      <c r="C856">
        <v>336.08</v>
      </c>
      <c r="D856" t="s">
        <v>39</v>
      </c>
      <c r="E856" s="10">
        <v>523.27598678195204</v>
      </c>
      <c r="F856" t="s">
        <v>30</v>
      </c>
      <c r="G856" s="14">
        <v>46143</v>
      </c>
      <c r="H856">
        <v>8199</v>
      </c>
      <c r="I856">
        <v>2755519.92</v>
      </c>
      <c r="J856">
        <v>15647.0319387974</v>
      </c>
      <c r="K856" t="s">
        <v>343</v>
      </c>
      <c r="L856" s="9" t="s">
        <v>344</v>
      </c>
      <c r="M856" t="s">
        <v>42</v>
      </c>
      <c r="N856" s="12">
        <v>181.76398088825601</v>
      </c>
      <c r="O856" s="13">
        <v>0.34735777195905737</v>
      </c>
      <c r="P856" s="9" t="s">
        <v>1111</v>
      </c>
      <c r="Q856">
        <v>452.82</v>
      </c>
      <c r="R856">
        <v>452.82</v>
      </c>
      <c r="S856" t="s">
        <v>39</v>
      </c>
      <c r="T856">
        <v>705.03996767020806</v>
      </c>
      <c r="U856">
        <v>282106.86</v>
      </c>
      <c r="V856">
        <v>439239.89985853963</v>
      </c>
      <c r="W856" t="s">
        <v>30</v>
      </c>
      <c r="X856" t="s">
        <v>345</v>
      </c>
      <c r="Y856" t="s">
        <v>1112</v>
      </c>
      <c r="Z856" t="b">
        <v>0</v>
      </c>
      <c r="AA856" t="s">
        <v>44</v>
      </c>
      <c r="AB856" t="s">
        <v>45</v>
      </c>
      <c r="AC856" t="s">
        <v>771</v>
      </c>
    </row>
    <row r="857" spans="2:29" x14ac:dyDescent="0.35">
      <c r="B857" t="s">
        <v>1111</v>
      </c>
      <c r="C857">
        <v>678.94</v>
      </c>
      <c r="D857" t="s">
        <v>39</v>
      </c>
      <c r="E857" s="10">
        <v>1057.1084219999361</v>
      </c>
      <c r="F857" t="s">
        <v>30</v>
      </c>
      <c r="G857" s="14">
        <v>46143</v>
      </c>
      <c r="H857">
        <v>8667</v>
      </c>
      <c r="I857">
        <v>5884372.9800000004</v>
      </c>
      <c r="J857">
        <v>14224.574489815799</v>
      </c>
      <c r="K857" t="s">
        <v>343</v>
      </c>
      <c r="L857" s="9" t="s">
        <v>344</v>
      </c>
      <c r="M857" t="s">
        <v>42</v>
      </c>
      <c r="N857" s="12">
        <v>838.78612115916815</v>
      </c>
      <c r="O857" s="13">
        <v>0.79347217721742724</v>
      </c>
      <c r="P857" s="9" t="s">
        <v>1111</v>
      </c>
      <c r="Q857">
        <v>140.22</v>
      </c>
      <c r="R857">
        <v>140.22</v>
      </c>
      <c r="S857" t="s">
        <v>39</v>
      </c>
      <c r="T857">
        <v>218.32230084076801</v>
      </c>
      <c r="U857">
        <v>1099885.68</v>
      </c>
      <c r="V857">
        <v>1712520.1277949843</v>
      </c>
      <c r="W857" t="s">
        <v>30</v>
      </c>
      <c r="X857" t="s">
        <v>345</v>
      </c>
      <c r="Y857" t="s">
        <v>1112</v>
      </c>
      <c r="Z857" t="b">
        <v>0</v>
      </c>
      <c r="AA857" t="s">
        <v>44</v>
      </c>
      <c r="AB857" t="s">
        <v>45</v>
      </c>
      <c r="AC857" t="s">
        <v>771</v>
      </c>
    </row>
    <row r="858" spans="2:29" x14ac:dyDescent="0.35">
      <c r="B858" t="s">
        <v>1111</v>
      </c>
      <c r="C858">
        <v>387.59</v>
      </c>
      <c r="D858" t="s">
        <v>39</v>
      </c>
      <c r="E858" s="10">
        <v>603.47696892649594</v>
      </c>
      <c r="F858" t="s">
        <v>30</v>
      </c>
      <c r="G858" s="14">
        <v>46143</v>
      </c>
      <c r="H858">
        <v>18212</v>
      </c>
      <c r="I858">
        <v>7058789.0799999991</v>
      </c>
      <c r="J858">
        <v>14224.574489815799</v>
      </c>
      <c r="K858" t="s">
        <v>343</v>
      </c>
      <c r="L858" s="9" t="s">
        <v>344</v>
      </c>
      <c r="M858" t="s">
        <v>42</v>
      </c>
      <c r="N858" s="12">
        <v>367.24918770012795</v>
      </c>
      <c r="O858" s="13">
        <v>0.60855543228669462</v>
      </c>
      <c r="P858" s="9" t="s">
        <v>1111</v>
      </c>
      <c r="Q858">
        <v>151.72</v>
      </c>
      <c r="R858">
        <v>151.72</v>
      </c>
      <c r="S858" t="s">
        <v>39</v>
      </c>
      <c r="T858">
        <v>236.22778122636799</v>
      </c>
      <c r="U858">
        <v>1217097.8400000001</v>
      </c>
      <c r="V858">
        <v>1895019.260997924</v>
      </c>
      <c r="W858" t="s">
        <v>30</v>
      </c>
      <c r="X858" t="s">
        <v>345</v>
      </c>
      <c r="Y858" t="s">
        <v>1112</v>
      </c>
      <c r="Z858" t="b">
        <v>0</v>
      </c>
      <c r="AA858" t="s">
        <v>44</v>
      </c>
      <c r="AB858" t="s">
        <v>45</v>
      </c>
      <c r="AC858" t="s">
        <v>771</v>
      </c>
    </row>
    <row r="859" spans="2:29" x14ac:dyDescent="0.35">
      <c r="B859" t="s">
        <v>1111</v>
      </c>
      <c r="C859">
        <v>766.78</v>
      </c>
      <c r="D859" t="s">
        <v>39</v>
      </c>
      <c r="E859" s="10">
        <v>1193.875152180032</v>
      </c>
      <c r="F859" t="s">
        <v>30</v>
      </c>
      <c r="G859" s="14">
        <v>46143</v>
      </c>
      <c r="H859">
        <v>18859</v>
      </c>
      <c r="I859">
        <v>14460704.02</v>
      </c>
      <c r="J859">
        <v>15647.0319387974</v>
      </c>
      <c r="K859" t="s">
        <v>343</v>
      </c>
      <c r="L859" s="9" t="s">
        <v>344</v>
      </c>
      <c r="M859" t="s">
        <v>42</v>
      </c>
      <c r="N859" s="12">
        <v>121.44586696319993</v>
      </c>
      <c r="O859" s="13">
        <v>0.10172409296017104</v>
      </c>
      <c r="P859" s="9" t="s">
        <v>1111</v>
      </c>
      <c r="Q859">
        <v>844.78</v>
      </c>
      <c r="R859">
        <v>844.78</v>
      </c>
      <c r="S859" t="s">
        <v>39</v>
      </c>
      <c r="T859">
        <v>1315.321019143232</v>
      </c>
      <c r="U859">
        <v>15429061.92</v>
      </c>
      <c r="V859">
        <v>24023023.09363199</v>
      </c>
      <c r="W859" t="s">
        <v>30</v>
      </c>
      <c r="X859" t="s">
        <v>345</v>
      </c>
      <c r="Y859" t="s">
        <v>1112</v>
      </c>
      <c r="Z859" t="b">
        <v>0</v>
      </c>
      <c r="AA859" t="s">
        <v>44</v>
      </c>
      <c r="AB859" t="s">
        <v>45</v>
      </c>
      <c r="AC859" t="s">
        <v>771</v>
      </c>
    </row>
    <row r="860" spans="2:29" x14ac:dyDescent="0.35">
      <c r="B860" t="s">
        <v>1111</v>
      </c>
      <c r="C860">
        <v>162.13</v>
      </c>
      <c r="D860" t="s">
        <v>39</v>
      </c>
      <c r="E860" s="10">
        <v>252.436133471072</v>
      </c>
      <c r="F860" t="s">
        <v>30</v>
      </c>
      <c r="G860" s="14">
        <v>46143</v>
      </c>
      <c r="H860">
        <v>1150</v>
      </c>
      <c r="I860">
        <v>186449.5</v>
      </c>
      <c r="J860">
        <v>16358.2606632882</v>
      </c>
      <c r="K860" t="s">
        <v>343</v>
      </c>
      <c r="L860" s="9" t="s">
        <v>344</v>
      </c>
      <c r="M860" t="s">
        <v>42</v>
      </c>
      <c r="N860" s="12">
        <v>104.24103581007998</v>
      </c>
      <c r="O860" s="13">
        <v>0.41294023314624057</v>
      </c>
      <c r="P860" s="9" t="s">
        <v>1111</v>
      </c>
      <c r="Q860">
        <v>95.18</v>
      </c>
      <c r="R860">
        <v>95.18</v>
      </c>
      <c r="S860" t="s">
        <v>39</v>
      </c>
      <c r="T860">
        <v>148.19509766099202</v>
      </c>
      <c r="U860">
        <v>660358.84000000008</v>
      </c>
      <c r="V860">
        <v>1028177.5875719626</v>
      </c>
      <c r="W860" t="s">
        <v>30</v>
      </c>
      <c r="X860" t="s">
        <v>345</v>
      </c>
      <c r="Y860" t="s">
        <v>1112</v>
      </c>
      <c r="Z860" t="b">
        <v>0</v>
      </c>
      <c r="AA860" t="s">
        <v>44</v>
      </c>
      <c r="AB860" t="s">
        <v>45</v>
      </c>
      <c r="AC860" t="s">
        <v>771</v>
      </c>
    </row>
    <row r="861" spans="2:29" x14ac:dyDescent="0.35">
      <c r="B861" t="s">
        <v>1111</v>
      </c>
      <c r="C861">
        <v>915.46</v>
      </c>
      <c r="D861" t="s">
        <v>39</v>
      </c>
      <c r="E861" s="10">
        <v>1425.369658591424</v>
      </c>
      <c r="F861" t="s">
        <v>30</v>
      </c>
      <c r="G861" s="14">
        <v>46143</v>
      </c>
      <c r="H861">
        <v>12950</v>
      </c>
      <c r="I861">
        <v>11855207</v>
      </c>
      <c r="J861">
        <v>96.985268058346605</v>
      </c>
      <c r="K861" t="s">
        <v>343</v>
      </c>
      <c r="L861" s="9" t="s">
        <v>344</v>
      </c>
      <c r="M861" t="s">
        <v>42</v>
      </c>
      <c r="N861" s="12">
        <v>759.73731775248007</v>
      </c>
      <c r="O861" s="13">
        <v>0.53301072684770501</v>
      </c>
      <c r="P861" s="9" t="s">
        <v>1111</v>
      </c>
      <c r="Q861">
        <v>427.51</v>
      </c>
      <c r="R861">
        <v>427.51</v>
      </c>
      <c r="S861" t="s">
        <v>39</v>
      </c>
      <c r="T861">
        <v>665.63234083894395</v>
      </c>
      <c r="U861">
        <v>5680325.3700000001</v>
      </c>
      <c r="V861">
        <v>8844256.9127270486</v>
      </c>
      <c r="W861" t="s">
        <v>30</v>
      </c>
      <c r="X861" t="s">
        <v>345</v>
      </c>
      <c r="Y861" t="s">
        <v>1112</v>
      </c>
      <c r="Z861" t="b">
        <v>0</v>
      </c>
      <c r="AA861" t="s">
        <v>44</v>
      </c>
      <c r="AB861" t="s">
        <v>45</v>
      </c>
      <c r="AC861" t="s">
        <v>771</v>
      </c>
    </row>
    <row r="862" spans="2:29" x14ac:dyDescent="0.35">
      <c r="B862" t="s">
        <v>1111</v>
      </c>
      <c r="C862">
        <v>779.09</v>
      </c>
      <c r="D862" t="s">
        <v>39</v>
      </c>
      <c r="E862" s="10">
        <v>1213.0418011840961</v>
      </c>
      <c r="F862" t="s">
        <v>30</v>
      </c>
      <c r="G862" s="14">
        <v>46143</v>
      </c>
      <c r="H862">
        <v>5910</v>
      </c>
      <c r="I862">
        <v>4604421.9000000004</v>
      </c>
      <c r="J862">
        <v>6982.9729313641101</v>
      </c>
      <c r="K862" t="s">
        <v>343</v>
      </c>
      <c r="L862" s="9" t="s">
        <v>344</v>
      </c>
      <c r="M862" t="s">
        <v>42</v>
      </c>
      <c r="N862" s="12">
        <v>485.02053868854409</v>
      </c>
      <c r="O862" s="13">
        <v>0.39983827285679452</v>
      </c>
      <c r="P862" s="9" t="s">
        <v>1111</v>
      </c>
      <c r="Q862">
        <v>467.58</v>
      </c>
      <c r="R862">
        <v>467.58</v>
      </c>
      <c r="S862" t="s">
        <v>39</v>
      </c>
      <c r="T862">
        <v>728.02126249555204</v>
      </c>
      <c r="U862">
        <v>7433119.2599999998</v>
      </c>
      <c r="V862">
        <v>11573354.009891791</v>
      </c>
      <c r="W862" t="s">
        <v>30</v>
      </c>
      <c r="X862" t="s">
        <v>345</v>
      </c>
      <c r="Y862" t="s">
        <v>1112</v>
      </c>
      <c r="Z862" t="b">
        <v>0</v>
      </c>
      <c r="AA862" t="s">
        <v>44</v>
      </c>
      <c r="AB862" t="s">
        <v>45</v>
      </c>
      <c r="AC862" t="s">
        <v>771</v>
      </c>
    </row>
    <row r="863" spans="2:29" x14ac:dyDescent="0.35">
      <c r="B863" t="s">
        <v>1113</v>
      </c>
      <c r="C863">
        <v>808.35</v>
      </c>
      <c r="D863" t="s">
        <v>39</v>
      </c>
      <c r="E863" s="10">
        <v>1258.5995712782401</v>
      </c>
      <c r="F863" t="s">
        <v>30</v>
      </c>
      <c r="G863" s="14">
        <v>46143</v>
      </c>
      <c r="H863">
        <v>1868</v>
      </c>
      <c r="I863">
        <v>1509997.8</v>
      </c>
      <c r="J863">
        <v>4190.6609093775996</v>
      </c>
      <c r="K863" t="s">
        <v>343</v>
      </c>
      <c r="L863" s="9" t="s">
        <v>344</v>
      </c>
      <c r="M863" t="s">
        <v>42</v>
      </c>
      <c r="N863" s="12">
        <v>155.87109925238406</v>
      </c>
      <c r="O863" s="13">
        <v>0.12384486917795513</v>
      </c>
      <c r="P863" s="9" t="s">
        <v>1113</v>
      </c>
      <c r="Q863">
        <v>708.24</v>
      </c>
      <c r="R863">
        <v>708.24</v>
      </c>
      <c r="S863" t="s">
        <v>39</v>
      </c>
      <c r="T863">
        <v>1102.728472025856</v>
      </c>
      <c r="U863">
        <v>13375820.640000001</v>
      </c>
      <c r="V863">
        <v>20826129.922680318</v>
      </c>
      <c r="W863" t="s">
        <v>30</v>
      </c>
      <c r="X863" t="s">
        <v>345</v>
      </c>
      <c r="Y863" t="s">
        <v>1114</v>
      </c>
      <c r="Z863" t="b">
        <v>0</v>
      </c>
      <c r="AA863" t="s">
        <v>44</v>
      </c>
      <c r="AB863" t="s">
        <v>45</v>
      </c>
      <c r="AC863" t="s">
        <v>46</v>
      </c>
    </row>
    <row r="864" spans="2:29" x14ac:dyDescent="0.35">
      <c r="B864" t="s">
        <v>1115</v>
      </c>
      <c r="C864">
        <v>507.2</v>
      </c>
      <c r="D864" t="s">
        <v>39</v>
      </c>
      <c r="E864" s="10">
        <v>789.70953491967998</v>
      </c>
      <c r="F864" t="s">
        <v>30</v>
      </c>
      <c r="G864" s="14">
        <v>46143</v>
      </c>
      <c r="H864">
        <v>1484</v>
      </c>
      <c r="I864">
        <v>752684.79999999993</v>
      </c>
      <c r="J864">
        <v>6056.4119655571203</v>
      </c>
      <c r="K864" t="s">
        <v>343</v>
      </c>
      <c r="L864" s="9" t="s">
        <v>344</v>
      </c>
      <c r="M864" t="s">
        <v>42</v>
      </c>
      <c r="N864" s="12">
        <v>413.56988695852795</v>
      </c>
      <c r="O864" s="13">
        <v>0.52369873817034696</v>
      </c>
      <c r="P864" s="9" t="s">
        <v>1115</v>
      </c>
      <c r="Q864">
        <v>241.58</v>
      </c>
      <c r="R864">
        <v>241.58</v>
      </c>
      <c r="S864" t="s">
        <v>39</v>
      </c>
      <c r="T864">
        <v>376.13964796115204</v>
      </c>
      <c r="U864">
        <v>741650.60000000009</v>
      </c>
      <c r="V864">
        <v>1154748.7192407367</v>
      </c>
      <c r="W864" t="s">
        <v>30</v>
      </c>
      <c r="X864" t="s">
        <v>345</v>
      </c>
      <c r="Y864" t="s">
        <v>1116</v>
      </c>
      <c r="Z864" t="b">
        <v>0</v>
      </c>
      <c r="AA864" t="s">
        <v>44</v>
      </c>
      <c r="AB864" t="s">
        <v>45</v>
      </c>
      <c r="AC864" t="s">
        <v>158</v>
      </c>
    </row>
    <row r="865" spans="2:29" x14ac:dyDescent="0.35">
      <c r="B865" t="s">
        <v>1115</v>
      </c>
      <c r="C865">
        <v>948.49</v>
      </c>
      <c r="D865" t="s">
        <v>39</v>
      </c>
      <c r="E865" s="10">
        <v>1476.7973122554561</v>
      </c>
      <c r="F865" t="s">
        <v>30</v>
      </c>
      <c r="G865" s="14">
        <v>46143</v>
      </c>
      <c r="H865">
        <v>17658</v>
      </c>
      <c r="I865">
        <v>16748436.42</v>
      </c>
      <c r="J865">
        <v>6056.4119655571203</v>
      </c>
      <c r="K865" t="s">
        <v>343</v>
      </c>
      <c r="L865" s="9" t="s">
        <v>344</v>
      </c>
      <c r="M865" t="s">
        <v>42</v>
      </c>
      <c r="N865" s="12">
        <v>767.335469429152</v>
      </c>
      <c r="O865" s="13">
        <v>0.51959430252295757</v>
      </c>
      <c r="P865" s="9" t="s">
        <v>1115</v>
      </c>
      <c r="Q865">
        <v>455.66</v>
      </c>
      <c r="R865">
        <v>455.66</v>
      </c>
      <c r="S865" t="s">
        <v>39</v>
      </c>
      <c r="T865">
        <v>709.46184282630406</v>
      </c>
      <c r="U865">
        <v>8946884.0999999996</v>
      </c>
      <c r="V865">
        <v>13930283.283894481</v>
      </c>
      <c r="W865" t="s">
        <v>30</v>
      </c>
      <c r="X865" t="s">
        <v>345</v>
      </c>
      <c r="Y865" t="s">
        <v>1116</v>
      </c>
      <c r="Z865" t="b">
        <v>0</v>
      </c>
      <c r="AA865" t="s">
        <v>44</v>
      </c>
      <c r="AB865" t="s">
        <v>45</v>
      </c>
      <c r="AC865" t="s">
        <v>158</v>
      </c>
    </row>
    <row r="866" spans="2:29" x14ac:dyDescent="0.35">
      <c r="B866" t="s">
        <v>1115</v>
      </c>
      <c r="C866">
        <v>634.33000000000004</v>
      </c>
      <c r="D866" t="s">
        <v>39</v>
      </c>
      <c r="E866" s="10">
        <v>987.65072808675211</v>
      </c>
      <c r="F866" t="s">
        <v>30</v>
      </c>
      <c r="G866" s="14">
        <v>46143</v>
      </c>
      <c r="H866">
        <v>5546</v>
      </c>
      <c r="I866">
        <v>3517994.18</v>
      </c>
      <c r="J866">
        <v>6056.4119655571203</v>
      </c>
      <c r="K866" t="s">
        <v>343</v>
      </c>
      <c r="L866" s="9" t="s">
        <v>344</v>
      </c>
      <c r="M866" t="s">
        <v>42</v>
      </c>
      <c r="N866" s="12">
        <v>283.07785990486389</v>
      </c>
      <c r="O866" s="13">
        <v>0.28661737581385066</v>
      </c>
      <c r="P866" s="9" t="s">
        <v>1115</v>
      </c>
      <c r="Q866">
        <v>816.14</v>
      </c>
      <c r="R866">
        <v>816.14</v>
      </c>
      <c r="S866" t="s">
        <v>39</v>
      </c>
      <c r="T866">
        <v>1270.728587991616</v>
      </c>
      <c r="U866">
        <v>15894326.5</v>
      </c>
      <c r="V866">
        <v>24747439.25113672</v>
      </c>
      <c r="W866" t="s">
        <v>30</v>
      </c>
      <c r="X866" t="s">
        <v>345</v>
      </c>
      <c r="Y866" t="s">
        <v>1116</v>
      </c>
      <c r="Z866" t="b">
        <v>0</v>
      </c>
      <c r="AA866" t="s">
        <v>44</v>
      </c>
      <c r="AB866" t="s">
        <v>45</v>
      </c>
      <c r="AC866" t="s">
        <v>158</v>
      </c>
    </row>
    <row r="867" spans="2:29" x14ac:dyDescent="0.35">
      <c r="B867" t="s">
        <v>1117</v>
      </c>
      <c r="C867">
        <v>196.83</v>
      </c>
      <c r="D867" t="s">
        <v>39</v>
      </c>
      <c r="E867" s="10">
        <v>306.46397428675203</v>
      </c>
      <c r="F867" t="s">
        <v>30</v>
      </c>
      <c r="G867" s="14">
        <v>46143</v>
      </c>
      <c r="H867">
        <v>16376</v>
      </c>
      <c r="I867">
        <v>3223288.08</v>
      </c>
      <c r="J867">
        <v>11644.2297244316</v>
      </c>
      <c r="K867" t="s">
        <v>343</v>
      </c>
      <c r="L867" s="9" t="s">
        <v>344</v>
      </c>
      <c r="M867" t="s">
        <v>42</v>
      </c>
      <c r="N867" s="12">
        <v>246.11472039580804</v>
      </c>
      <c r="O867" s="13">
        <v>0.8030787989635727</v>
      </c>
      <c r="P867" s="9" t="s">
        <v>1117</v>
      </c>
      <c r="Q867">
        <v>38.76</v>
      </c>
      <c r="R867">
        <v>38.76</v>
      </c>
      <c r="S867" t="s">
        <v>39</v>
      </c>
      <c r="T867">
        <v>60.349253890943999</v>
      </c>
      <c r="U867">
        <v>735238.44</v>
      </c>
      <c r="V867">
        <v>1144764.9970573168</v>
      </c>
      <c r="W867" t="s">
        <v>30</v>
      </c>
      <c r="X867" t="s">
        <v>345</v>
      </c>
      <c r="Y867" t="s">
        <v>1118</v>
      </c>
      <c r="Z867" t="b">
        <v>0</v>
      </c>
      <c r="AB867" t="s">
        <v>45</v>
      </c>
      <c r="AC867" t="s">
        <v>158</v>
      </c>
    </row>
    <row r="868" spans="2:29" x14ac:dyDescent="0.35">
      <c r="B868" t="s">
        <v>1117</v>
      </c>
      <c r="C868">
        <v>227.88</v>
      </c>
      <c r="D868" t="s">
        <v>39</v>
      </c>
      <c r="E868" s="10">
        <v>354.80877132787202</v>
      </c>
      <c r="F868" t="s">
        <v>30</v>
      </c>
      <c r="G868" s="14">
        <v>46143</v>
      </c>
      <c r="H868">
        <v>10559</v>
      </c>
      <c r="I868">
        <v>2406184.92</v>
      </c>
      <c r="J868">
        <v>4419.3590468522498</v>
      </c>
      <c r="K868" t="s">
        <v>343</v>
      </c>
      <c r="L868" s="9" t="s">
        <v>344</v>
      </c>
      <c r="M868" t="s">
        <v>42</v>
      </c>
      <c r="N868" s="12">
        <v>702.64219029683193</v>
      </c>
      <c r="O868" s="13">
        <v>1.980340530103563</v>
      </c>
      <c r="P868" s="9" t="s">
        <v>1117</v>
      </c>
      <c r="Q868">
        <v>679.16</v>
      </c>
      <c r="R868">
        <v>679.16</v>
      </c>
      <c r="S868" t="s">
        <v>39</v>
      </c>
      <c r="T868">
        <v>1057.450961624704</v>
      </c>
      <c r="U868">
        <v>5145316.16</v>
      </c>
      <c r="V868">
        <v>8011248.4852687567</v>
      </c>
      <c r="W868" t="s">
        <v>30</v>
      </c>
      <c r="X868" t="s">
        <v>345</v>
      </c>
      <c r="Y868" t="s">
        <v>1118</v>
      </c>
      <c r="Z868" t="b">
        <v>0</v>
      </c>
      <c r="AB868" t="s">
        <v>45</v>
      </c>
      <c r="AC868" t="s">
        <v>158</v>
      </c>
    </row>
    <row r="869" spans="2:29" x14ac:dyDescent="0.35">
      <c r="B869" t="s">
        <v>1119</v>
      </c>
      <c r="C869">
        <v>247.03</v>
      </c>
      <c r="D869" t="s">
        <v>39</v>
      </c>
      <c r="E869" s="10">
        <v>384.62528866563201</v>
      </c>
      <c r="F869" t="s">
        <v>30</v>
      </c>
      <c r="G869" s="14">
        <v>46143</v>
      </c>
      <c r="H869">
        <v>3557</v>
      </c>
      <c r="I869">
        <v>878685.71</v>
      </c>
      <c r="J869">
        <v>19562.305937045101</v>
      </c>
      <c r="K869" t="s">
        <v>343</v>
      </c>
      <c r="L869" s="9" t="s">
        <v>344</v>
      </c>
      <c r="M869" t="s">
        <v>42</v>
      </c>
      <c r="N869" s="12">
        <v>335.36186263081601</v>
      </c>
      <c r="O869" s="13">
        <v>0.87191839047888919</v>
      </c>
      <c r="P869" s="9" t="s">
        <v>1119</v>
      </c>
      <c r="Q869">
        <v>31.64</v>
      </c>
      <c r="R869">
        <v>31.64</v>
      </c>
      <c r="S869" t="s">
        <v>39</v>
      </c>
      <c r="T869">
        <v>49.263426034816</v>
      </c>
      <c r="U869">
        <v>181708.52</v>
      </c>
      <c r="V869">
        <v>282919.85571794829</v>
      </c>
      <c r="W869" t="s">
        <v>30</v>
      </c>
      <c r="X869" t="s">
        <v>345</v>
      </c>
      <c r="Y869" t="s">
        <v>1120</v>
      </c>
      <c r="Z869" t="b">
        <v>0</v>
      </c>
      <c r="AB869" t="s">
        <v>45</v>
      </c>
      <c r="AC869" t="s">
        <v>158</v>
      </c>
    </row>
    <row r="870" spans="2:29" x14ac:dyDescent="0.35">
      <c r="B870" t="s">
        <v>1119</v>
      </c>
      <c r="C870">
        <v>698.79</v>
      </c>
      <c r="D870" t="s">
        <v>39</v>
      </c>
      <c r="E870" s="10">
        <v>1088.0148381437759</v>
      </c>
      <c r="F870" t="s">
        <v>30</v>
      </c>
      <c r="G870" s="14">
        <v>46143</v>
      </c>
      <c r="H870">
        <v>18956</v>
      </c>
      <c r="I870">
        <v>13246263.24</v>
      </c>
      <c r="J870">
        <v>11178.4605354544</v>
      </c>
      <c r="K870" t="s">
        <v>343</v>
      </c>
      <c r="L870" s="9" t="s">
        <v>344</v>
      </c>
      <c r="M870" t="s">
        <v>42</v>
      </c>
      <c r="N870" s="12">
        <v>834.92476538905589</v>
      </c>
      <c r="O870" s="13">
        <v>0.76738362025787432</v>
      </c>
      <c r="P870" s="9" t="s">
        <v>1119</v>
      </c>
      <c r="Q870">
        <v>162.55000000000001</v>
      </c>
      <c r="R870">
        <v>162.55000000000001</v>
      </c>
      <c r="S870" t="s">
        <v>39</v>
      </c>
      <c r="T870">
        <v>253.09007275472001</v>
      </c>
      <c r="U870">
        <v>2060971.4500000002</v>
      </c>
      <c r="V870">
        <v>3208929.0324570951</v>
      </c>
      <c r="W870" t="s">
        <v>30</v>
      </c>
      <c r="X870" t="s">
        <v>345</v>
      </c>
      <c r="Y870" t="s">
        <v>1120</v>
      </c>
      <c r="Z870" t="b">
        <v>0</v>
      </c>
      <c r="AB870" t="s">
        <v>45</v>
      </c>
      <c r="AC870" t="s">
        <v>158</v>
      </c>
    </row>
    <row r="871" spans="2:29" x14ac:dyDescent="0.35">
      <c r="B871" t="s">
        <v>1119</v>
      </c>
      <c r="C871">
        <v>484.77</v>
      </c>
      <c r="D871" t="s">
        <v>39</v>
      </c>
      <c r="E871" s="10">
        <v>754.78606317628794</v>
      </c>
      <c r="F871" t="s">
        <v>30</v>
      </c>
      <c r="G871" s="14">
        <v>46143</v>
      </c>
      <c r="H871">
        <v>9256</v>
      </c>
      <c r="I871">
        <v>4487031.12</v>
      </c>
      <c r="J871">
        <v>14141.9489499272</v>
      </c>
      <c r="K871" t="s">
        <v>343</v>
      </c>
      <c r="L871" s="9" t="s">
        <v>344</v>
      </c>
      <c r="M871" t="s">
        <v>42</v>
      </c>
      <c r="N871" s="12">
        <v>430.1674887768321</v>
      </c>
      <c r="O871" s="13">
        <v>0.56991975576046394</v>
      </c>
      <c r="P871" s="9" t="s">
        <v>1119</v>
      </c>
      <c r="Q871">
        <v>761.05</v>
      </c>
      <c r="R871">
        <v>761.05</v>
      </c>
      <c r="S871" t="s">
        <v>39</v>
      </c>
      <c r="T871">
        <v>1184.95355195312</v>
      </c>
      <c r="U871">
        <v>10382244.1</v>
      </c>
      <c r="V871">
        <v>16165136.355744464</v>
      </c>
      <c r="W871" t="s">
        <v>30</v>
      </c>
      <c r="X871" t="s">
        <v>345</v>
      </c>
      <c r="Y871" t="s">
        <v>1120</v>
      </c>
      <c r="Z871" t="b">
        <v>0</v>
      </c>
      <c r="AB871" t="s">
        <v>45</v>
      </c>
      <c r="AC871" t="s">
        <v>158</v>
      </c>
    </row>
    <row r="872" spans="2:29" x14ac:dyDescent="0.35">
      <c r="B872" t="s">
        <v>1119</v>
      </c>
      <c r="C872">
        <v>866.38</v>
      </c>
      <c r="D872" t="s">
        <v>39</v>
      </c>
      <c r="E872" s="10">
        <v>1348.9521823022719</v>
      </c>
      <c r="F872" t="s">
        <v>30</v>
      </c>
      <c r="G872" s="14">
        <v>46143</v>
      </c>
      <c r="H872">
        <v>15394</v>
      </c>
      <c r="I872">
        <v>13337053.720000001</v>
      </c>
      <c r="J872">
        <v>11574.7028997942</v>
      </c>
      <c r="K872" t="s">
        <v>343</v>
      </c>
      <c r="L872" s="9" t="s">
        <v>344</v>
      </c>
      <c r="M872" t="s">
        <v>42</v>
      </c>
      <c r="N872" s="12">
        <v>839.08195083510384</v>
      </c>
      <c r="O872" s="13">
        <v>0.62202497749255514</v>
      </c>
      <c r="P872" s="9" t="s">
        <v>1119</v>
      </c>
      <c r="Q872">
        <v>327.47000000000003</v>
      </c>
      <c r="R872">
        <v>327.47000000000003</v>
      </c>
      <c r="S872" t="s">
        <v>39</v>
      </c>
      <c r="T872">
        <v>509.87023146716808</v>
      </c>
      <c r="U872">
        <v>856006.58000000007</v>
      </c>
      <c r="V872">
        <v>1332800.7850551773</v>
      </c>
      <c r="W872" t="s">
        <v>30</v>
      </c>
      <c r="X872" t="s">
        <v>345</v>
      </c>
      <c r="Y872" t="s">
        <v>1120</v>
      </c>
      <c r="Z872" t="b">
        <v>0</v>
      </c>
      <c r="AB872" t="s">
        <v>45</v>
      </c>
      <c r="AC872" t="s">
        <v>158</v>
      </c>
    </row>
    <row r="873" spans="2:29" x14ac:dyDescent="0.35">
      <c r="B873" t="s">
        <v>1119</v>
      </c>
      <c r="C873">
        <v>295.20999999999998</v>
      </c>
      <c r="D873" t="s">
        <v>39</v>
      </c>
      <c r="E873" s="10">
        <v>459.64146648982398</v>
      </c>
      <c r="F873" t="s">
        <v>30</v>
      </c>
      <c r="G873" s="14">
        <v>46143</v>
      </c>
      <c r="H873">
        <v>7054</v>
      </c>
      <c r="I873">
        <v>2082411.3399999999</v>
      </c>
      <c r="J873">
        <v>6986.5378346589696</v>
      </c>
      <c r="K873" t="s">
        <v>343</v>
      </c>
      <c r="L873" s="9" t="s">
        <v>344</v>
      </c>
      <c r="M873" t="s">
        <v>42</v>
      </c>
      <c r="N873" s="12">
        <v>997.77121700035207</v>
      </c>
      <c r="O873" s="13">
        <v>2.1707597981098203</v>
      </c>
      <c r="P873" s="9" t="s">
        <v>1119</v>
      </c>
      <c r="Q873">
        <v>936.04</v>
      </c>
      <c r="R873">
        <v>936.04</v>
      </c>
      <c r="S873" t="s">
        <v>39</v>
      </c>
      <c r="T873">
        <v>1457.4126834901761</v>
      </c>
      <c r="U873">
        <v>3030897.52</v>
      </c>
      <c r="V873">
        <v>4719102.2691411898</v>
      </c>
      <c r="W873" t="s">
        <v>30</v>
      </c>
      <c r="X873" t="s">
        <v>345</v>
      </c>
      <c r="Y873" t="s">
        <v>1120</v>
      </c>
      <c r="Z873" t="b">
        <v>0</v>
      </c>
      <c r="AB873" t="s">
        <v>45</v>
      </c>
      <c r="AC873" t="s">
        <v>158</v>
      </c>
    </row>
    <row r="874" spans="2:29" x14ac:dyDescent="0.35">
      <c r="B874" t="s">
        <v>1119</v>
      </c>
      <c r="C874">
        <v>820.48</v>
      </c>
      <c r="D874" t="s">
        <v>39</v>
      </c>
      <c r="E874" s="10">
        <v>1277.4859605893121</v>
      </c>
      <c r="F874" t="s">
        <v>30</v>
      </c>
      <c r="G874" s="14">
        <v>46143</v>
      </c>
      <c r="H874">
        <v>11168</v>
      </c>
      <c r="I874">
        <v>9163120.6400000006</v>
      </c>
      <c r="J874">
        <v>414.31491064239799</v>
      </c>
      <c r="K874" t="s">
        <v>343</v>
      </c>
      <c r="L874" s="9" t="s">
        <v>344</v>
      </c>
      <c r="M874" t="s">
        <v>42</v>
      </c>
      <c r="N874" s="12">
        <v>939.1969411650241</v>
      </c>
      <c r="O874" s="13">
        <v>0.73519159516380661</v>
      </c>
      <c r="P874" s="9" t="s">
        <v>1119</v>
      </c>
      <c r="Q874">
        <v>217.27</v>
      </c>
      <c r="R874">
        <v>217.27</v>
      </c>
      <c r="S874" t="s">
        <v>39</v>
      </c>
      <c r="T874">
        <v>338.28901942428803</v>
      </c>
      <c r="U874">
        <v>4183533.85</v>
      </c>
      <c r="V874">
        <v>6513755.0690146657</v>
      </c>
      <c r="W874" t="s">
        <v>30</v>
      </c>
      <c r="X874" t="s">
        <v>345</v>
      </c>
      <c r="Y874" t="s">
        <v>1120</v>
      </c>
      <c r="Z874" t="b">
        <v>0</v>
      </c>
      <c r="AB874" t="s">
        <v>45</v>
      </c>
      <c r="AC874" t="s">
        <v>158</v>
      </c>
    </row>
    <row r="875" spans="2:29" x14ac:dyDescent="0.35">
      <c r="B875" t="s">
        <v>1119</v>
      </c>
      <c r="C875">
        <v>966.83</v>
      </c>
      <c r="D875" t="s">
        <v>39</v>
      </c>
      <c r="E875" s="10">
        <v>1505.3526609747521</v>
      </c>
      <c r="F875" t="s">
        <v>30</v>
      </c>
      <c r="G875" s="14">
        <v>46143</v>
      </c>
      <c r="H875">
        <v>12596</v>
      </c>
      <c r="I875">
        <v>12178190.68</v>
      </c>
      <c r="J875">
        <v>3535.4872374818001</v>
      </c>
      <c r="K875" t="s">
        <v>343</v>
      </c>
      <c r="L875" s="9" t="s">
        <v>344</v>
      </c>
      <c r="M875" t="s">
        <v>42</v>
      </c>
      <c r="N875" s="12">
        <v>246.51953995235203</v>
      </c>
      <c r="O875" s="13">
        <v>0.16376198504390638</v>
      </c>
      <c r="P875" s="9" t="s">
        <v>1119</v>
      </c>
      <c r="Q875">
        <v>808.5</v>
      </c>
      <c r="R875">
        <v>808.5</v>
      </c>
      <c r="S875" t="s">
        <v>39</v>
      </c>
      <c r="T875">
        <v>1258.8331210224001</v>
      </c>
      <c r="U875">
        <v>1457725.5</v>
      </c>
      <c r="V875">
        <v>2269676.1172033874</v>
      </c>
      <c r="W875" t="s">
        <v>30</v>
      </c>
      <c r="X875" t="s">
        <v>345</v>
      </c>
      <c r="Y875" t="s">
        <v>1120</v>
      </c>
      <c r="Z875" t="b">
        <v>0</v>
      </c>
      <c r="AB875" t="s">
        <v>45</v>
      </c>
      <c r="AC875" t="s">
        <v>158</v>
      </c>
    </row>
    <row r="876" spans="2:29" x14ac:dyDescent="0.35">
      <c r="B876" t="s">
        <v>1119</v>
      </c>
      <c r="C876">
        <v>843.44</v>
      </c>
      <c r="D876" t="s">
        <v>39</v>
      </c>
      <c r="E876" s="10">
        <v>1313.234641428736</v>
      </c>
      <c r="F876" t="s">
        <v>30</v>
      </c>
      <c r="G876" s="14">
        <v>46143</v>
      </c>
      <c r="H876">
        <v>5563</v>
      </c>
      <c r="I876">
        <v>4692056.7200000007</v>
      </c>
      <c r="J876">
        <v>82227.699265494695</v>
      </c>
      <c r="K876" t="s">
        <v>343</v>
      </c>
      <c r="L876" s="9" t="s">
        <v>344</v>
      </c>
      <c r="M876" t="s">
        <v>42</v>
      </c>
      <c r="N876" s="12">
        <v>998.75212592582398</v>
      </c>
      <c r="O876" s="13">
        <v>0.76052831262449017</v>
      </c>
      <c r="P876" s="9" t="s">
        <v>1119</v>
      </c>
      <c r="Q876">
        <v>201.98</v>
      </c>
      <c r="R876">
        <v>201.98</v>
      </c>
      <c r="S876" t="s">
        <v>39</v>
      </c>
      <c r="T876">
        <v>314.48251550291201</v>
      </c>
      <c r="U876">
        <v>3583327.1799999997</v>
      </c>
      <c r="V876">
        <v>5579234.3075371617</v>
      </c>
      <c r="W876" t="s">
        <v>30</v>
      </c>
      <c r="X876" t="s">
        <v>345</v>
      </c>
      <c r="Y876" t="s">
        <v>1120</v>
      </c>
      <c r="Z876" t="b">
        <v>0</v>
      </c>
      <c r="AB876" t="s">
        <v>45</v>
      </c>
      <c r="AC876" t="s">
        <v>158</v>
      </c>
    </row>
    <row r="877" spans="2:29" x14ac:dyDescent="0.35">
      <c r="B877" t="s">
        <v>1121</v>
      </c>
      <c r="C877">
        <v>916.01</v>
      </c>
      <c r="D877" t="s">
        <v>39</v>
      </c>
      <c r="E877" s="10">
        <v>1426.2260076533439</v>
      </c>
      <c r="F877" t="s">
        <v>30</v>
      </c>
      <c r="G877" s="14">
        <v>46143</v>
      </c>
      <c r="H877">
        <v>8759</v>
      </c>
      <c r="I877">
        <v>8023331.5899999999</v>
      </c>
      <c r="J877">
        <v>6706.4276135032296</v>
      </c>
      <c r="K877" t="s">
        <v>343</v>
      </c>
      <c r="L877" s="9" t="s">
        <v>344</v>
      </c>
      <c r="M877" t="s">
        <v>42</v>
      </c>
      <c r="N877" s="12">
        <v>543.127715035552</v>
      </c>
      <c r="O877" s="13">
        <v>0.38081461992773008</v>
      </c>
      <c r="P877" s="9" t="s">
        <v>1121</v>
      </c>
      <c r="Q877">
        <v>567.17999999999995</v>
      </c>
      <c r="R877">
        <v>567.17999999999995</v>
      </c>
      <c r="S877" t="s">
        <v>39</v>
      </c>
      <c r="T877">
        <v>883.09829261779191</v>
      </c>
      <c r="U877">
        <v>744707.34</v>
      </c>
      <c r="V877">
        <v>1159508.0582071608</v>
      </c>
      <c r="W877" t="s">
        <v>30</v>
      </c>
      <c r="X877" t="s">
        <v>345</v>
      </c>
      <c r="Y877" t="s">
        <v>1122</v>
      </c>
      <c r="Z877" t="b">
        <v>0</v>
      </c>
      <c r="AA877" t="s">
        <v>565</v>
      </c>
      <c r="AB877" t="s">
        <v>45</v>
      </c>
      <c r="AC877" t="s">
        <v>158</v>
      </c>
    </row>
    <row r="878" spans="2:29" x14ac:dyDescent="0.35">
      <c r="B878" t="s">
        <v>1121</v>
      </c>
      <c r="C878">
        <v>333.54</v>
      </c>
      <c r="D878" t="s">
        <v>39</v>
      </c>
      <c r="E878" s="10">
        <v>519.32121111417609</v>
      </c>
      <c r="F878" t="s">
        <v>30</v>
      </c>
      <c r="G878" s="14">
        <v>46143</v>
      </c>
      <c r="H878">
        <v>2743</v>
      </c>
      <c r="I878">
        <v>914900.22000000009</v>
      </c>
      <c r="J878">
        <v>6706.4276135032296</v>
      </c>
      <c r="K878" t="s">
        <v>343</v>
      </c>
      <c r="L878" s="9" t="s">
        <v>344</v>
      </c>
      <c r="M878" t="s">
        <v>42</v>
      </c>
      <c r="N878" s="12">
        <v>591.67492185494393</v>
      </c>
      <c r="O878" s="13">
        <v>1.139323619355999</v>
      </c>
      <c r="P878" s="9" t="s">
        <v>1121</v>
      </c>
      <c r="Q878">
        <v>713.55</v>
      </c>
      <c r="R878">
        <v>713.55</v>
      </c>
      <c r="S878" t="s">
        <v>39</v>
      </c>
      <c r="T878">
        <v>1110.99613296912</v>
      </c>
      <c r="U878">
        <v>1619044.95</v>
      </c>
      <c r="V878">
        <v>2520850.2257069335</v>
      </c>
      <c r="W878" t="s">
        <v>30</v>
      </c>
      <c r="X878" t="s">
        <v>345</v>
      </c>
      <c r="Y878" t="s">
        <v>1122</v>
      </c>
      <c r="Z878" t="b">
        <v>0</v>
      </c>
      <c r="AA878" t="s">
        <v>565</v>
      </c>
      <c r="AB878" t="s">
        <v>45</v>
      </c>
      <c r="AC878" t="s">
        <v>158</v>
      </c>
    </row>
    <row r="879" spans="2:29" x14ac:dyDescent="0.35">
      <c r="B879" t="s">
        <v>1121</v>
      </c>
      <c r="C879">
        <v>420.81</v>
      </c>
      <c r="D879" t="s">
        <v>39</v>
      </c>
      <c r="E879" s="10">
        <v>655.20045226646403</v>
      </c>
      <c r="F879" t="s">
        <v>30</v>
      </c>
      <c r="G879" s="14">
        <v>46143</v>
      </c>
      <c r="H879">
        <v>12760</v>
      </c>
      <c r="I879">
        <v>5369535.5999999996</v>
      </c>
      <c r="J879">
        <v>7886.4330248767501</v>
      </c>
      <c r="K879" t="s">
        <v>343</v>
      </c>
      <c r="L879" s="9" t="s">
        <v>344</v>
      </c>
      <c r="M879" t="s">
        <v>42</v>
      </c>
      <c r="N879" s="12">
        <v>566.07786989500801</v>
      </c>
      <c r="O879" s="13">
        <v>0.86397661652527269</v>
      </c>
      <c r="P879" s="9" t="s">
        <v>1121</v>
      </c>
      <c r="Q879">
        <v>784.38</v>
      </c>
      <c r="R879">
        <v>784.38</v>
      </c>
      <c r="S879" t="s">
        <v>39</v>
      </c>
      <c r="T879">
        <v>1221.278322161472</v>
      </c>
      <c r="U879">
        <v>8239911.9000000004</v>
      </c>
      <c r="V879">
        <v>12829528.774306264</v>
      </c>
      <c r="W879" t="s">
        <v>30</v>
      </c>
      <c r="X879" t="s">
        <v>345</v>
      </c>
      <c r="Y879" t="s">
        <v>1122</v>
      </c>
      <c r="Z879" t="b">
        <v>0</v>
      </c>
      <c r="AA879" t="s">
        <v>565</v>
      </c>
      <c r="AB879" t="s">
        <v>45</v>
      </c>
      <c r="AC879" t="s">
        <v>158</v>
      </c>
    </row>
    <row r="880" spans="2:29" x14ac:dyDescent="0.35">
      <c r="B880" t="s">
        <v>1121</v>
      </c>
      <c r="C880">
        <v>70.66</v>
      </c>
      <c r="D880" t="s">
        <v>39</v>
      </c>
      <c r="E880" s="10">
        <v>110.017499482304</v>
      </c>
      <c r="F880" t="s">
        <v>30</v>
      </c>
      <c r="G880" s="14">
        <v>46143</v>
      </c>
      <c r="H880">
        <v>4730</v>
      </c>
      <c r="I880">
        <v>334221.8</v>
      </c>
      <c r="J880">
        <v>4694.4993294522601</v>
      </c>
      <c r="K880" t="s">
        <v>343</v>
      </c>
      <c r="L880" s="9" t="s">
        <v>344</v>
      </c>
      <c r="M880" t="s">
        <v>42</v>
      </c>
      <c r="N880" s="12">
        <v>1341.2139007791043</v>
      </c>
      <c r="O880" s="13">
        <v>12.190914237192191</v>
      </c>
      <c r="P880" s="9" t="s">
        <v>1121</v>
      </c>
      <c r="Q880">
        <v>932.07</v>
      </c>
      <c r="R880">
        <v>932.07</v>
      </c>
      <c r="S880" t="s">
        <v>39</v>
      </c>
      <c r="T880">
        <v>1451.2314002614082</v>
      </c>
      <c r="U880">
        <v>10169815.770000001</v>
      </c>
      <c r="V880">
        <v>15834385.808252225</v>
      </c>
      <c r="W880" t="s">
        <v>30</v>
      </c>
      <c r="X880" t="s">
        <v>345</v>
      </c>
      <c r="Y880" t="s">
        <v>1122</v>
      </c>
      <c r="Z880" t="b">
        <v>0</v>
      </c>
      <c r="AA880" t="s">
        <v>565</v>
      </c>
      <c r="AB880" t="s">
        <v>45</v>
      </c>
      <c r="AC880" t="s">
        <v>158</v>
      </c>
    </row>
    <row r="881" spans="2:29" x14ac:dyDescent="0.35">
      <c r="B881" t="s">
        <v>1121</v>
      </c>
      <c r="C881">
        <v>557.62</v>
      </c>
      <c r="D881" t="s">
        <v>39</v>
      </c>
      <c r="E881" s="10">
        <v>868.21338892332801</v>
      </c>
      <c r="F881" t="s">
        <v>30</v>
      </c>
      <c r="G881" s="14">
        <v>46143</v>
      </c>
      <c r="H881">
        <v>5838</v>
      </c>
      <c r="I881">
        <v>3255385.56</v>
      </c>
      <c r="J881">
        <v>4694.4993294522601</v>
      </c>
      <c r="K881" t="s">
        <v>343</v>
      </c>
      <c r="L881" s="9" t="s">
        <v>344</v>
      </c>
      <c r="M881" t="s">
        <v>42</v>
      </c>
      <c r="N881" s="12">
        <v>233.97013369948809</v>
      </c>
      <c r="O881" s="13">
        <v>0.26948459524407314</v>
      </c>
      <c r="P881" s="9" t="s">
        <v>1121</v>
      </c>
      <c r="Q881">
        <v>707.89</v>
      </c>
      <c r="R881">
        <v>707.89</v>
      </c>
      <c r="S881" t="s">
        <v>39</v>
      </c>
      <c r="T881">
        <v>1102.1835226228161</v>
      </c>
      <c r="U881">
        <v>1873784.83</v>
      </c>
      <c r="V881">
        <v>2917479.7843825943</v>
      </c>
      <c r="W881" t="s">
        <v>30</v>
      </c>
      <c r="X881" t="s">
        <v>345</v>
      </c>
      <c r="Y881" t="s">
        <v>1122</v>
      </c>
      <c r="Z881" t="b">
        <v>0</v>
      </c>
      <c r="AA881" t="s">
        <v>565</v>
      </c>
      <c r="AB881" t="s">
        <v>45</v>
      </c>
      <c r="AC881" t="s">
        <v>158</v>
      </c>
    </row>
    <row r="882" spans="2:29" x14ac:dyDescent="0.35">
      <c r="B882" t="s">
        <v>1121</v>
      </c>
      <c r="C882">
        <v>347.1</v>
      </c>
      <c r="D882" t="s">
        <v>39</v>
      </c>
      <c r="E882" s="10">
        <v>540.43410798624006</v>
      </c>
      <c r="F882" t="s">
        <v>30</v>
      </c>
      <c r="G882" s="14">
        <v>46143</v>
      </c>
      <c r="H882">
        <v>16555</v>
      </c>
      <c r="I882">
        <v>5746240.5</v>
      </c>
      <c r="J882">
        <v>5520.5031174137202</v>
      </c>
      <c r="K882" t="s">
        <v>343</v>
      </c>
      <c r="L882" s="9" t="s">
        <v>344</v>
      </c>
      <c r="M882" t="s">
        <v>42</v>
      </c>
      <c r="N882" s="12">
        <v>680.84421417523197</v>
      </c>
      <c r="O882" s="13">
        <v>1.2598098530682798</v>
      </c>
      <c r="P882" s="9" t="s">
        <v>1121</v>
      </c>
      <c r="Q882">
        <v>784.38</v>
      </c>
      <c r="R882">
        <v>784.38</v>
      </c>
      <c r="S882" t="s">
        <v>39</v>
      </c>
      <c r="T882">
        <v>1221.278322161472</v>
      </c>
      <c r="U882">
        <v>10517751.42</v>
      </c>
      <c r="V882">
        <v>16376121.021863179</v>
      </c>
      <c r="W882" t="s">
        <v>30</v>
      </c>
      <c r="X882" t="s">
        <v>345</v>
      </c>
      <c r="Y882" t="s">
        <v>1122</v>
      </c>
      <c r="Z882" t="b">
        <v>0</v>
      </c>
      <c r="AA882" t="s">
        <v>565</v>
      </c>
      <c r="AB882" t="s">
        <v>45</v>
      </c>
      <c r="AC882" t="s">
        <v>158</v>
      </c>
    </row>
    <row r="883" spans="2:29" x14ac:dyDescent="0.35">
      <c r="B883" t="s">
        <v>1121</v>
      </c>
      <c r="C883">
        <v>84.54</v>
      </c>
      <c r="D883" t="s">
        <v>39</v>
      </c>
      <c r="E883" s="10">
        <v>131.62863580857601</v>
      </c>
      <c r="F883" t="s">
        <v>30</v>
      </c>
      <c r="G883" s="14">
        <v>46143</v>
      </c>
      <c r="H883">
        <v>4458</v>
      </c>
      <c r="I883">
        <v>376879.32</v>
      </c>
      <c r="J883">
        <v>5520.5031174137202</v>
      </c>
      <c r="K883" t="s">
        <v>343</v>
      </c>
      <c r="L883" s="9" t="s">
        <v>344</v>
      </c>
      <c r="M883" t="s">
        <v>42</v>
      </c>
      <c r="N883" s="12">
        <v>900.67680336156786</v>
      </c>
      <c r="O883" s="13">
        <v>6.8425597350366676</v>
      </c>
      <c r="P883" s="9" t="s">
        <v>1121</v>
      </c>
      <c r="Q883">
        <v>663.01</v>
      </c>
      <c r="R883">
        <v>663.01</v>
      </c>
      <c r="S883" t="s">
        <v>39</v>
      </c>
      <c r="T883">
        <v>1032.3054391701439</v>
      </c>
      <c r="U883">
        <v>806220.16</v>
      </c>
      <c r="V883">
        <v>1255283.4140308951</v>
      </c>
      <c r="W883" t="s">
        <v>30</v>
      </c>
      <c r="X883" t="s">
        <v>345</v>
      </c>
      <c r="Y883" t="s">
        <v>1122</v>
      </c>
      <c r="Z883" t="b">
        <v>0</v>
      </c>
      <c r="AA883" t="s">
        <v>565</v>
      </c>
      <c r="AB883" t="s">
        <v>45</v>
      </c>
      <c r="AC883" t="s">
        <v>158</v>
      </c>
    </row>
    <row r="884" spans="2:29" x14ac:dyDescent="0.35">
      <c r="B884" t="s">
        <v>1121</v>
      </c>
      <c r="C884">
        <v>583.13</v>
      </c>
      <c r="D884" t="s">
        <v>39</v>
      </c>
      <c r="E884" s="10">
        <v>907.93241541347197</v>
      </c>
      <c r="F884" t="s">
        <v>30</v>
      </c>
      <c r="G884" s="14">
        <v>46143</v>
      </c>
      <c r="H884">
        <v>19958</v>
      </c>
      <c r="I884">
        <v>11638108.539999999</v>
      </c>
      <c r="J884">
        <v>5520.5031174137202</v>
      </c>
      <c r="K884" t="s">
        <v>343</v>
      </c>
      <c r="L884" s="9" t="s">
        <v>344</v>
      </c>
      <c r="M884" t="s">
        <v>42</v>
      </c>
      <c r="N884" s="12">
        <v>283.74736917145606</v>
      </c>
      <c r="O884" s="13">
        <v>0.3125203642412499</v>
      </c>
      <c r="P884" s="9" t="s">
        <v>1121</v>
      </c>
      <c r="Q884">
        <v>765.37</v>
      </c>
      <c r="R884">
        <v>765.37</v>
      </c>
      <c r="S884" t="s">
        <v>39</v>
      </c>
      <c r="T884">
        <v>1191.679784584928</v>
      </c>
      <c r="U884">
        <v>2707879.06</v>
      </c>
      <c r="V884">
        <v>4216163.0778614758</v>
      </c>
      <c r="W884" t="s">
        <v>30</v>
      </c>
      <c r="X884" t="s">
        <v>345</v>
      </c>
      <c r="Y884" t="s">
        <v>1122</v>
      </c>
      <c r="Z884" t="b">
        <v>0</v>
      </c>
      <c r="AA884" t="s">
        <v>565</v>
      </c>
      <c r="AB884" t="s">
        <v>45</v>
      </c>
      <c r="AC884" t="s">
        <v>158</v>
      </c>
    </row>
    <row r="885" spans="2:29" x14ac:dyDescent="0.35">
      <c r="B885" t="s">
        <v>1121</v>
      </c>
      <c r="C885">
        <v>540.64</v>
      </c>
      <c r="D885" t="s">
        <v>39</v>
      </c>
      <c r="E885" s="10">
        <v>841.775557884416</v>
      </c>
      <c r="F885" t="s">
        <v>30</v>
      </c>
      <c r="G885" s="14">
        <v>46143</v>
      </c>
      <c r="H885">
        <v>6653</v>
      </c>
      <c r="I885">
        <v>3596877.92</v>
      </c>
      <c r="J885">
        <v>7153.5227877367797</v>
      </c>
      <c r="K885" t="s">
        <v>343</v>
      </c>
      <c r="L885" s="9" t="s">
        <v>344</v>
      </c>
      <c r="M885" t="s">
        <v>42</v>
      </c>
      <c r="N885" s="12">
        <v>557.6077991734719</v>
      </c>
      <c r="O885" s="13">
        <v>0.66241861497484456</v>
      </c>
      <c r="P885" s="9" t="s">
        <v>1121</v>
      </c>
      <c r="Q885">
        <v>898.77</v>
      </c>
      <c r="R885">
        <v>898.77</v>
      </c>
      <c r="S885" t="s">
        <v>39</v>
      </c>
      <c r="T885">
        <v>1399.3833570578879</v>
      </c>
      <c r="U885">
        <v>15894747.449999999</v>
      </c>
      <c r="V885">
        <v>24748094.669568747</v>
      </c>
      <c r="W885" t="s">
        <v>30</v>
      </c>
      <c r="X885" t="s">
        <v>345</v>
      </c>
      <c r="Y885" t="s">
        <v>1122</v>
      </c>
      <c r="Z885" t="b">
        <v>0</v>
      </c>
      <c r="AA885" t="s">
        <v>565</v>
      </c>
      <c r="AB885" t="s">
        <v>45</v>
      </c>
      <c r="AC885" t="s">
        <v>158</v>
      </c>
    </row>
    <row r="886" spans="2:29" x14ac:dyDescent="0.35">
      <c r="B886" t="s">
        <v>1121</v>
      </c>
      <c r="C886">
        <v>101.11</v>
      </c>
      <c r="D886" t="s">
        <v>39</v>
      </c>
      <c r="E886" s="10">
        <v>157.42809754678402</v>
      </c>
      <c r="F886" t="s">
        <v>30</v>
      </c>
      <c r="G886" s="14">
        <v>46143</v>
      </c>
      <c r="H886">
        <v>15490</v>
      </c>
      <c r="I886">
        <v>1566193.9</v>
      </c>
      <c r="J886">
        <v>894.18038367801296</v>
      </c>
      <c r="K886" t="s">
        <v>343</v>
      </c>
      <c r="L886" s="9" t="s">
        <v>344</v>
      </c>
      <c r="M886" t="s">
        <v>42</v>
      </c>
      <c r="N886" s="12">
        <v>698.39158495311995</v>
      </c>
      <c r="O886" s="13">
        <v>4.4362575412916616</v>
      </c>
      <c r="P886" s="9" t="s">
        <v>1121</v>
      </c>
      <c r="Q886">
        <v>549.66</v>
      </c>
      <c r="R886">
        <v>549.66</v>
      </c>
      <c r="S886" t="s">
        <v>39</v>
      </c>
      <c r="T886">
        <v>855.81968249990393</v>
      </c>
      <c r="U886">
        <v>2514144.84</v>
      </c>
      <c r="V886">
        <v>3914519.2277545608</v>
      </c>
      <c r="W886" t="s">
        <v>30</v>
      </c>
      <c r="X886" t="s">
        <v>345</v>
      </c>
      <c r="Y886" t="s">
        <v>1122</v>
      </c>
      <c r="Z886" t="b">
        <v>0</v>
      </c>
      <c r="AA886" t="s">
        <v>565</v>
      </c>
      <c r="AB886" t="s">
        <v>45</v>
      </c>
      <c r="AC886" t="s">
        <v>158</v>
      </c>
    </row>
    <row r="887" spans="2:29" x14ac:dyDescent="0.35">
      <c r="B887" t="s">
        <v>1121</v>
      </c>
      <c r="C887">
        <v>192.67</v>
      </c>
      <c r="D887" t="s">
        <v>39</v>
      </c>
      <c r="E887" s="10">
        <v>299.986861382048</v>
      </c>
      <c r="F887" t="s">
        <v>30</v>
      </c>
      <c r="G887" s="14">
        <v>46143</v>
      </c>
      <c r="H887">
        <v>1145</v>
      </c>
      <c r="I887">
        <v>220607.15</v>
      </c>
      <c r="J887">
        <v>9463.6299467503395</v>
      </c>
      <c r="K887" t="s">
        <v>343</v>
      </c>
      <c r="L887" s="9" t="s">
        <v>344</v>
      </c>
      <c r="M887" t="s">
        <v>42</v>
      </c>
      <c r="N887" s="12">
        <v>704.29260848889601</v>
      </c>
      <c r="O887" s="13">
        <v>2.3477448487050396</v>
      </c>
      <c r="P887" s="9" t="s">
        <v>1121</v>
      </c>
      <c r="Q887">
        <v>645.01</v>
      </c>
      <c r="R887">
        <v>645.01</v>
      </c>
      <c r="S887" t="s">
        <v>39</v>
      </c>
      <c r="T887">
        <v>1004.279469870944</v>
      </c>
      <c r="U887">
        <v>3919080.76</v>
      </c>
      <c r="V887">
        <v>6102002.0589358555</v>
      </c>
      <c r="W887" t="s">
        <v>30</v>
      </c>
      <c r="X887" t="s">
        <v>345</v>
      </c>
      <c r="Y887" t="s">
        <v>1122</v>
      </c>
      <c r="Z887" t="b">
        <v>0</v>
      </c>
      <c r="AA887" t="s">
        <v>565</v>
      </c>
      <c r="AB887" t="s">
        <v>45</v>
      </c>
      <c r="AC887" t="s">
        <v>158</v>
      </c>
    </row>
    <row r="888" spans="2:29" x14ac:dyDescent="0.35">
      <c r="B888" t="s">
        <v>1121</v>
      </c>
      <c r="C888">
        <v>765.52</v>
      </c>
      <c r="D888" t="s">
        <v>39</v>
      </c>
      <c r="E888" s="10">
        <v>1191.913334329088</v>
      </c>
      <c r="F888" t="s">
        <v>30</v>
      </c>
      <c r="G888" s="14">
        <v>46143</v>
      </c>
      <c r="H888">
        <v>11816</v>
      </c>
      <c r="I888">
        <v>9045384.3200000003</v>
      </c>
      <c r="J888">
        <v>9463.6299467503395</v>
      </c>
      <c r="K888" t="s">
        <v>343</v>
      </c>
      <c r="L888" s="9" t="s">
        <v>344</v>
      </c>
      <c r="M888" t="s">
        <v>42</v>
      </c>
      <c r="N888" s="12">
        <v>1044.403315917632</v>
      </c>
      <c r="O888" s="13">
        <v>0.87624098651896742</v>
      </c>
      <c r="P888" s="9" t="s">
        <v>1121</v>
      </c>
      <c r="Q888">
        <v>94.74</v>
      </c>
      <c r="R888">
        <v>94.74</v>
      </c>
      <c r="S888" t="s">
        <v>39</v>
      </c>
      <c r="T888">
        <v>147.510018411456</v>
      </c>
      <c r="U888">
        <v>1759227.0599999998</v>
      </c>
      <c r="V888">
        <v>2739113.5318823266</v>
      </c>
      <c r="W888" t="s">
        <v>30</v>
      </c>
      <c r="X888" t="s">
        <v>345</v>
      </c>
      <c r="Y888" t="s">
        <v>1122</v>
      </c>
      <c r="Z888" t="b">
        <v>0</v>
      </c>
      <c r="AA888" t="s">
        <v>565</v>
      </c>
      <c r="AB888" t="s">
        <v>45</v>
      </c>
      <c r="AC888" t="s">
        <v>158</v>
      </c>
    </row>
    <row r="889" spans="2:29" x14ac:dyDescent="0.35">
      <c r="B889" t="s">
        <v>1121</v>
      </c>
      <c r="C889">
        <v>115.63</v>
      </c>
      <c r="D889" t="s">
        <v>39</v>
      </c>
      <c r="E889" s="10">
        <v>180.035712781472</v>
      </c>
      <c r="F889" t="s">
        <v>30</v>
      </c>
      <c r="G889" s="14">
        <v>46143</v>
      </c>
      <c r="H889">
        <v>6974</v>
      </c>
      <c r="I889">
        <v>806403.62</v>
      </c>
      <c r="J889">
        <v>9463.6299467503395</v>
      </c>
      <c r="K889" t="s">
        <v>343</v>
      </c>
      <c r="L889" s="9" t="s">
        <v>344</v>
      </c>
      <c r="M889" t="s">
        <v>42</v>
      </c>
      <c r="N889" s="12">
        <v>875.20431126518406</v>
      </c>
      <c r="O889" s="13">
        <v>4.8612816743059764</v>
      </c>
      <c r="P889" s="9" t="s">
        <v>1121</v>
      </c>
      <c r="Q889">
        <v>677.74</v>
      </c>
      <c r="R889">
        <v>677.74</v>
      </c>
      <c r="S889" t="s">
        <v>39</v>
      </c>
      <c r="T889">
        <v>1055.2400240466561</v>
      </c>
      <c r="U889">
        <v>1360224.18</v>
      </c>
      <c r="V889">
        <v>2117866.7282616389</v>
      </c>
      <c r="W889" t="s">
        <v>30</v>
      </c>
      <c r="X889" t="s">
        <v>345</v>
      </c>
      <c r="Y889" t="s">
        <v>1122</v>
      </c>
      <c r="Z889" t="b">
        <v>0</v>
      </c>
      <c r="AA889" t="s">
        <v>565</v>
      </c>
      <c r="AB889" t="s">
        <v>45</v>
      </c>
      <c r="AC889" t="s">
        <v>158</v>
      </c>
    </row>
    <row r="890" spans="2:29" x14ac:dyDescent="0.35">
      <c r="B890" t="s">
        <v>1123</v>
      </c>
      <c r="C890">
        <v>685.04</v>
      </c>
      <c r="D890" t="s">
        <v>39</v>
      </c>
      <c r="E890" s="10">
        <v>1066.6061115957759</v>
      </c>
      <c r="F890" t="s">
        <v>30</v>
      </c>
      <c r="G890" s="14">
        <v>46143</v>
      </c>
      <c r="H890">
        <v>10670</v>
      </c>
      <c r="I890">
        <v>7309376.7999999998</v>
      </c>
      <c r="J890">
        <v>6017.8762577707203</v>
      </c>
      <c r="K890" t="s">
        <v>350</v>
      </c>
      <c r="L890" s="9" t="s">
        <v>351</v>
      </c>
      <c r="M890" t="s">
        <v>50</v>
      </c>
      <c r="N890" s="12">
        <v>772.59812366422398</v>
      </c>
      <c r="O890" s="13">
        <v>0.72435186266495388</v>
      </c>
      <c r="P890" s="9" t="s">
        <v>1123</v>
      </c>
      <c r="Q890">
        <v>188.83</v>
      </c>
      <c r="R890">
        <v>0.18883000000000003</v>
      </c>
      <c r="S890" t="s">
        <v>39</v>
      </c>
      <c r="T890">
        <v>294.00798793155201</v>
      </c>
      <c r="U890">
        <v>2494255.4700000002</v>
      </c>
      <c r="V890">
        <v>3883551.5125878705</v>
      </c>
      <c r="W890" t="s">
        <v>352</v>
      </c>
      <c r="X890" t="s">
        <v>353</v>
      </c>
      <c r="Y890" t="s">
        <v>1124</v>
      </c>
      <c r="Z890" t="b">
        <v>0</v>
      </c>
      <c r="AA890" t="s">
        <v>44</v>
      </c>
      <c r="AB890" t="s">
        <v>45</v>
      </c>
      <c r="AC890" t="s">
        <v>231</v>
      </c>
    </row>
    <row r="891" spans="2:29" x14ac:dyDescent="0.35">
      <c r="B891" t="s">
        <v>1123</v>
      </c>
      <c r="C891">
        <v>193.24</v>
      </c>
      <c r="D891" t="s">
        <v>39</v>
      </c>
      <c r="E891" s="10">
        <v>300.87435040985605</v>
      </c>
      <c r="F891" t="s">
        <v>30</v>
      </c>
      <c r="G891" s="14">
        <v>46143</v>
      </c>
      <c r="H891">
        <v>15577</v>
      </c>
      <c r="I891">
        <v>3010099.48</v>
      </c>
      <c r="J891">
        <v>12035.7525155414</v>
      </c>
      <c r="K891" t="s">
        <v>350</v>
      </c>
      <c r="L891" s="9" t="s">
        <v>351</v>
      </c>
      <c r="M891" t="s">
        <v>50</v>
      </c>
      <c r="N891" s="12">
        <v>1053.324916144544</v>
      </c>
      <c r="O891" s="13">
        <v>3.5008797350445038</v>
      </c>
      <c r="P891" s="9" t="s">
        <v>1123</v>
      </c>
      <c r="Q891">
        <v>869.75</v>
      </c>
      <c r="R891">
        <v>0.86975000000000002</v>
      </c>
      <c r="S891" t="s">
        <v>39</v>
      </c>
      <c r="T891">
        <v>1354.1992665544001</v>
      </c>
      <c r="U891">
        <v>1717756.25</v>
      </c>
      <c r="V891">
        <v>2674543.5514449403</v>
      </c>
      <c r="W891" t="s">
        <v>352</v>
      </c>
      <c r="X891" t="s">
        <v>353</v>
      </c>
      <c r="Y891" t="s">
        <v>1124</v>
      </c>
      <c r="Z891" t="b">
        <v>0</v>
      </c>
      <c r="AA891" t="s">
        <v>44</v>
      </c>
      <c r="AB891" t="s">
        <v>45</v>
      </c>
      <c r="AC891" t="s">
        <v>231</v>
      </c>
    </row>
    <row r="892" spans="2:29" x14ac:dyDescent="0.35">
      <c r="B892" t="s">
        <v>1125</v>
      </c>
      <c r="C892">
        <v>296.64999999999998</v>
      </c>
      <c r="D892" t="s">
        <v>39</v>
      </c>
      <c r="E892" s="10">
        <v>461.88354403375996</v>
      </c>
      <c r="F892" t="s">
        <v>30</v>
      </c>
      <c r="G892" s="14">
        <v>46143</v>
      </c>
      <c r="H892">
        <v>14446</v>
      </c>
      <c r="I892">
        <v>4285405.8999999994</v>
      </c>
      <c r="J892">
        <v>16015.2844561984</v>
      </c>
      <c r="K892" t="s">
        <v>350</v>
      </c>
      <c r="L892" s="9" t="s">
        <v>351</v>
      </c>
      <c r="M892" t="s">
        <v>50</v>
      </c>
      <c r="N892" s="12">
        <v>856.52033173238397</v>
      </c>
      <c r="O892" s="13">
        <v>1.8544075509860105</v>
      </c>
      <c r="P892" s="9" t="s">
        <v>1125</v>
      </c>
      <c r="Q892">
        <v>846.76</v>
      </c>
      <c r="R892">
        <v>0.84675999999999996</v>
      </c>
      <c r="S892" t="s">
        <v>39</v>
      </c>
      <c r="T892">
        <v>1318.403875766144</v>
      </c>
      <c r="U892">
        <v>15355992.6</v>
      </c>
      <c r="V892">
        <v>23909254.287019022</v>
      </c>
      <c r="W892" t="s">
        <v>352</v>
      </c>
      <c r="X892" t="s">
        <v>353</v>
      </c>
      <c r="Y892" t="s">
        <v>1126</v>
      </c>
      <c r="Z892" t="b">
        <v>0</v>
      </c>
      <c r="AA892" t="s">
        <v>44</v>
      </c>
      <c r="AB892" t="s">
        <v>45</v>
      </c>
      <c r="AC892" t="s">
        <v>231</v>
      </c>
    </row>
    <row r="893" spans="2:29" x14ac:dyDescent="0.35">
      <c r="B893" t="s">
        <v>1125</v>
      </c>
      <c r="C893">
        <v>168.84</v>
      </c>
      <c r="D893" t="s">
        <v>39</v>
      </c>
      <c r="E893" s="10">
        <v>262.88359202649599</v>
      </c>
      <c r="F893" t="s">
        <v>30</v>
      </c>
      <c r="G893" s="14">
        <v>46143</v>
      </c>
      <c r="H893">
        <v>4994</v>
      </c>
      <c r="I893">
        <v>843186.96</v>
      </c>
      <c r="J893">
        <v>16015.2844561984</v>
      </c>
      <c r="K893" t="s">
        <v>350</v>
      </c>
      <c r="L893" s="9" t="s">
        <v>351</v>
      </c>
      <c r="M893" t="s">
        <v>50</v>
      </c>
      <c r="N893" s="12">
        <v>799.05152468608003</v>
      </c>
      <c r="O893" s="13">
        <v>3.0395640843402041</v>
      </c>
      <c r="P893" s="9" t="s">
        <v>1125</v>
      </c>
      <c r="Q893">
        <v>682.04</v>
      </c>
      <c r="R893">
        <v>0.68203999999999998</v>
      </c>
      <c r="S893" t="s">
        <v>39</v>
      </c>
      <c r="T893">
        <v>1061.935116712576</v>
      </c>
      <c r="U893">
        <v>13135408.359999999</v>
      </c>
      <c r="V893">
        <v>20451808.4127675</v>
      </c>
      <c r="W893" t="s">
        <v>352</v>
      </c>
      <c r="X893" t="s">
        <v>353</v>
      </c>
      <c r="Y893" t="s">
        <v>1126</v>
      </c>
      <c r="Z893" t="b">
        <v>0</v>
      </c>
      <c r="AA893" t="s">
        <v>44</v>
      </c>
      <c r="AB893" t="s">
        <v>45</v>
      </c>
      <c r="AC893" t="s">
        <v>231</v>
      </c>
    </row>
    <row r="894" spans="2:29" x14ac:dyDescent="0.35">
      <c r="B894" t="s">
        <v>1127</v>
      </c>
      <c r="C894">
        <v>429.96</v>
      </c>
      <c r="D894" t="s">
        <v>39</v>
      </c>
      <c r="E894" s="10">
        <v>669.44698666022396</v>
      </c>
      <c r="F894" t="s">
        <v>30</v>
      </c>
      <c r="G894" s="14">
        <v>46143</v>
      </c>
      <c r="H894">
        <v>10896</v>
      </c>
      <c r="I894">
        <v>4684844.16</v>
      </c>
      <c r="J894">
        <v>5869.2732265565901</v>
      </c>
      <c r="K894" t="s">
        <v>297</v>
      </c>
      <c r="L894" s="9" t="s">
        <v>298</v>
      </c>
      <c r="M894" t="s">
        <v>50</v>
      </c>
      <c r="N894" s="12">
        <v>133.73058350601605</v>
      </c>
      <c r="O894" s="13">
        <v>0.19976276862964004</v>
      </c>
      <c r="P894" s="9" t="s">
        <v>1127</v>
      </c>
      <c r="Q894">
        <v>515.85</v>
      </c>
      <c r="R894">
        <v>515.85</v>
      </c>
      <c r="S894" t="s">
        <v>39</v>
      </c>
      <c r="T894">
        <v>803.17757016624</v>
      </c>
      <c r="U894">
        <v>6863384.25</v>
      </c>
      <c r="V894">
        <v>10686277.571061824</v>
      </c>
      <c r="W894" t="s">
        <v>30</v>
      </c>
      <c r="X894" t="s">
        <v>299</v>
      </c>
      <c r="Y894" t="s">
        <v>1128</v>
      </c>
      <c r="Z894" t="b">
        <v>0</v>
      </c>
      <c r="AA894" t="s">
        <v>44</v>
      </c>
      <c r="AB894" t="s">
        <v>45</v>
      </c>
      <c r="AC894" t="s">
        <v>301</v>
      </c>
    </row>
    <row r="895" spans="2:29" x14ac:dyDescent="0.35">
      <c r="B895" t="s">
        <v>1127</v>
      </c>
      <c r="C895">
        <v>766.7</v>
      </c>
      <c r="D895" t="s">
        <v>39</v>
      </c>
      <c r="E895" s="10">
        <v>1193.7505923164802</v>
      </c>
      <c r="F895" t="s">
        <v>30</v>
      </c>
      <c r="G895" s="14">
        <v>46143</v>
      </c>
      <c r="H895">
        <v>4811</v>
      </c>
      <c r="I895">
        <v>3688593.7</v>
      </c>
      <c r="J895">
        <v>6847.4854309826896</v>
      </c>
      <c r="K895" t="s">
        <v>297</v>
      </c>
      <c r="L895" s="9" t="s">
        <v>298</v>
      </c>
      <c r="M895" t="s">
        <v>50</v>
      </c>
      <c r="N895" s="12">
        <v>318.32830129007993</v>
      </c>
      <c r="O895" s="13">
        <v>0.2666623190296073</v>
      </c>
      <c r="P895" s="9" t="s">
        <v>1127</v>
      </c>
      <c r="Q895">
        <v>971.15</v>
      </c>
      <c r="R895">
        <v>971.15</v>
      </c>
      <c r="S895" t="s">
        <v>39</v>
      </c>
      <c r="T895">
        <v>1512.0788936065601</v>
      </c>
      <c r="U895">
        <v>16289098.949999999</v>
      </c>
      <c r="V895">
        <v>25362099.282462832</v>
      </c>
      <c r="W895" t="s">
        <v>30</v>
      </c>
      <c r="X895" t="s">
        <v>299</v>
      </c>
      <c r="Y895" t="s">
        <v>1128</v>
      </c>
      <c r="Z895" t="b">
        <v>0</v>
      </c>
      <c r="AA895" t="s">
        <v>44</v>
      </c>
      <c r="AB895" t="s">
        <v>45</v>
      </c>
      <c r="AC895" t="s">
        <v>301</v>
      </c>
    </row>
    <row r="896" spans="2:29" x14ac:dyDescent="0.35">
      <c r="B896" t="s">
        <v>1127</v>
      </c>
      <c r="C896">
        <v>719.72</v>
      </c>
      <c r="D896" t="s">
        <v>39</v>
      </c>
      <c r="E896" s="10">
        <v>1120.6028124455681</v>
      </c>
      <c r="F896" t="s">
        <v>30</v>
      </c>
      <c r="G896" s="14">
        <v>46143</v>
      </c>
      <c r="H896">
        <v>7518</v>
      </c>
      <c r="I896">
        <v>5410854.96</v>
      </c>
      <c r="J896">
        <v>7336.6148881701602</v>
      </c>
      <c r="K896" t="s">
        <v>297</v>
      </c>
      <c r="L896" s="9" t="s">
        <v>298</v>
      </c>
      <c r="M896" t="s">
        <v>50</v>
      </c>
      <c r="N896" s="12">
        <v>638.66513037993616</v>
      </c>
      <c r="O896" s="13">
        <v>0.56992997276718727</v>
      </c>
      <c r="P896" s="9" t="s">
        <v>1127</v>
      </c>
      <c r="Q896">
        <v>309.52999999999997</v>
      </c>
      <c r="R896">
        <v>309.52999999999997</v>
      </c>
      <c r="S896" t="s">
        <v>39</v>
      </c>
      <c r="T896">
        <v>481.93768206563198</v>
      </c>
      <c r="U896">
        <v>546320.44999999995</v>
      </c>
      <c r="V896">
        <v>850620.00884584046</v>
      </c>
      <c r="W896" t="s">
        <v>30</v>
      </c>
      <c r="X896" t="s">
        <v>299</v>
      </c>
      <c r="Y896" t="s">
        <v>1128</v>
      </c>
      <c r="Z896" t="b">
        <v>0</v>
      </c>
      <c r="AA896" t="s">
        <v>44</v>
      </c>
      <c r="AB896" t="s">
        <v>45</v>
      </c>
      <c r="AC896" t="s">
        <v>301</v>
      </c>
    </row>
    <row r="897" spans="2:29" x14ac:dyDescent="0.35">
      <c r="B897" t="s">
        <v>1129</v>
      </c>
      <c r="C897">
        <v>790.21</v>
      </c>
      <c r="D897" t="s">
        <v>39</v>
      </c>
      <c r="E897" s="10">
        <v>1230.355622217824</v>
      </c>
      <c r="F897" t="s">
        <v>30</v>
      </c>
      <c r="G897" s="14">
        <v>46143</v>
      </c>
      <c r="H897">
        <v>14488</v>
      </c>
      <c r="I897">
        <v>11448562.48</v>
      </c>
      <c r="J897">
        <v>743.37342137816495</v>
      </c>
      <c r="K897" t="s">
        <v>297</v>
      </c>
      <c r="L897" s="9" t="s">
        <v>298</v>
      </c>
      <c r="M897" t="s">
        <v>50</v>
      </c>
      <c r="N897" s="12">
        <v>254.89619077622388</v>
      </c>
      <c r="O897" s="13">
        <v>0.20717277685678481</v>
      </c>
      <c r="P897" s="9" t="s">
        <v>1129</v>
      </c>
      <c r="Q897">
        <v>953.92</v>
      </c>
      <c r="R897">
        <v>953.92</v>
      </c>
      <c r="S897" t="s">
        <v>39</v>
      </c>
      <c r="T897">
        <v>1485.2518129940479</v>
      </c>
      <c r="U897">
        <v>8950631.3599999994</v>
      </c>
      <c r="V897">
        <v>13936117.761323152</v>
      </c>
      <c r="W897" t="s">
        <v>30</v>
      </c>
      <c r="X897" t="s">
        <v>299</v>
      </c>
      <c r="Y897" t="s">
        <v>1130</v>
      </c>
      <c r="Z897" t="b">
        <v>0</v>
      </c>
      <c r="AA897" t="s">
        <v>44</v>
      </c>
      <c r="AB897" t="s">
        <v>45</v>
      </c>
      <c r="AC897" t="s">
        <v>301</v>
      </c>
    </row>
    <row r="898" spans="2:29" x14ac:dyDescent="0.35">
      <c r="B898" t="s">
        <v>1129</v>
      </c>
      <c r="C898">
        <v>326.95</v>
      </c>
      <c r="D898" t="s">
        <v>39</v>
      </c>
      <c r="E898" s="10">
        <v>509.06059235407997</v>
      </c>
      <c r="F898" t="s">
        <v>30</v>
      </c>
      <c r="G898" s="14">
        <v>46143</v>
      </c>
      <c r="H898">
        <v>5956</v>
      </c>
      <c r="I898">
        <v>1947314.2</v>
      </c>
      <c r="J898">
        <v>1734.54125291214</v>
      </c>
      <c r="K898" t="s">
        <v>297</v>
      </c>
      <c r="L898" s="9" t="s">
        <v>298</v>
      </c>
      <c r="M898" t="s">
        <v>50</v>
      </c>
      <c r="N898" s="12">
        <v>460.66908536412797</v>
      </c>
      <c r="O898" s="13">
        <v>0.90493959320997097</v>
      </c>
      <c r="P898" s="9" t="s">
        <v>1129</v>
      </c>
      <c r="Q898">
        <v>31.08</v>
      </c>
      <c r="R898">
        <v>31.08</v>
      </c>
      <c r="S898" t="s">
        <v>39</v>
      </c>
      <c r="T898">
        <v>48.391506989951999</v>
      </c>
      <c r="U898">
        <v>141289.68</v>
      </c>
      <c r="V898">
        <v>219987.79077632178</v>
      </c>
      <c r="W898" t="s">
        <v>30</v>
      </c>
      <c r="X898" t="s">
        <v>299</v>
      </c>
      <c r="Y898" t="s">
        <v>1130</v>
      </c>
      <c r="Z898" t="b">
        <v>0</v>
      </c>
      <c r="AA898" t="s">
        <v>44</v>
      </c>
      <c r="AB898" t="s">
        <v>45</v>
      </c>
      <c r="AC898" t="s">
        <v>301</v>
      </c>
    </row>
    <row r="899" spans="2:29" x14ac:dyDescent="0.35">
      <c r="B899" t="s">
        <v>1131</v>
      </c>
      <c r="C899">
        <v>982.58</v>
      </c>
      <c r="D899" t="s">
        <v>39</v>
      </c>
      <c r="E899" s="10">
        <v>1529.8753841115522</v>
      </c>
      <c r="F899" t="s">
        <v>30</v>
      </c>
      <c r="G899" s="14">
        <v>46143</v>
      </c>
      <c r="H899">
        <v>17632</v>
      </c>
      <c r="I899">
        <v>17324850.560000002</v>
      </c>
      <c r="J899">
        <v>4937.5218512353904</v>
      </c>
      <c r="K899" t="s">
        <v>297</v>
      </c>
      <c r="L899" s="9" t="s">
        <v>298</v>
      </c>
      <c r="M899" t="s">
        <v>50</v>
      </c>
      <c r="N899" s="12">
        <v>1392.0966050400962</v>
      </c>
      <c r="O899" s="13">
        <v>0.90994117527326024</v>
      </c>
      <c r="P899" s="9" t="s">
        <v>1131</v>
      </c>
      <c r="Q899">
        <v>88.49</v>
      </c>
      <c r="R899">
        <v>88.49</v>
      </c>
      <c r="S899" t="s">
        <v>39</v>
      </c>
      <c r="T899">
        <v>137.778779071456</v>
      </c>
      <c r="U899">
        <v>1190809.93</v>
      </c>
      <c r="V899">
        <v>1854089.0299645835</v>
      </c>
      <c r="W899" t="s">
        <v>30</v>
      </c>
      <c r="X899" t="s">
        <v>299</v>
      </c>
      <c r="Y899" t="s">
        <v>1132</v>
      </c>
      <c r="Z899" t="b">
        <v>0</v>
      </c>
      <c r="AA899" t="s">
        <v>44</v>
      </c>
      <c r="AB899" t="s">
        <v>45</v>
      </c>
      <c r="AC899" t="s">
        <v>301</v>
      </c>
    </row>
    <row r="900" spans="2:29" x14ac:dyDescent="0.35">
      <c r="B900" t="s">
        <v>1131</v>
      </c>
      <c r="C900">
        <v>465.75</v>
      </c>
      <c r="D900" t="s">
        <v>39</v>
      </c>
      <c r="E900" s="10">
        <v>725.17195561680001</v>
      </c>
      <c r="F900" t="s">
        <v>30</v>
      </c>
      <c r="G900" s="14">
        <v>46143</v>
      </c>
      <c r="H900">
        <v>14993</v>
      </c>
      <c r="I900">
        <v>6982989.75</v>
      </c>
      <c r="J900">
        <v>2468.7609256177002</v>
      </c>
      <c r="K900" t="s">
        <v>297</v>
      </c>
      <c r="L900" s="9" t="s">
        <v>298</v>
      </c>
      <c r="M900" t="s">
        <v>50</v>
      </c>
      <c r="N900" s="12">
        <v>165.71132847299202</v>
      </c>
      <c r="O900" s="13">
        <v>0.22851315083199145</v>
      </c>
      <c r="P900" s="9" t="s">
        <v>1131</v>
      </c>
      <c r="Q900">
        <v>359.32</v>
      </c>
      <c r="R900">
        <v>359.32</v>
      </c>
      <c r="S900" t="s">
        <v>39</v>
      </c>
      <c r="T900">
        <v>559.46062714380798</v>
      </c>
      <c r="U900">
        <v>5407047.3600000003</v>
      </c>
      <c r="V900">
        <v>8418763.5172600225</v>
      </c>
      <c r="W900" t="s">
        <v>30</v>
      </c>
      <c r="X900" t="s">
        <v>299</v>
      </c>
      <c r="Y900" t="s">
        <v>1132</v>
      </c>
      <c r="Z900" t="b">
        <v>0</v>
      </c>
      <c r="AA900" t="s">
        <v>44</v>
      </c>
      <c r="AB900" t="s">
        <v>45</v>
      </c>
      <c r="AC900" t="s">
        <v>301</v>
      </c>
    </row>
    <row r="901" spans="2:29" x14ac:dyDescent="0.35">
      <c r="B901" t="s">
        <v>240</v>
      </c>
      <c r="C901">
        <v>72.44</v>
      </c>
      <c r="D901" t="s">
        <v>39</v>
      </c>
      <c r="E901" s="10">
        <v>112.788956446336</v>
      </c>
      <c r="F901" t="s">
        <v>30</v>
      </c>
      <c r="G901" s="14">
        <v>46143</v>
      </c>
      <c r="H901">
        <v>10084</v>
      </c>
      <c r="I901">
        <v>730484.96</v>
      </c>
      <c r="J901">
        <v>5981.36464776704</v>
      </c>
      <c r="K901" t="s">
        <v>241</v>
      </c>
      <c r="L901" s="9" t="s">
        <v>242</v>
      </c>
      <c r="M901" t="s">
        <v>50</v>
      </c>
      <c r="N901" s="12">
        <v>677.49666784227202</v>
      </c>
      <c r="O901" s="13">
        <v>6.0067642186637213</v>
      </c>
      <c r="P901" s="9" t="s">
        <v>240</v>
      </c>
      <c r="Q901">
        <v>507.57</v>
      </c>
      <c r="R901">
        <v>507.57</v>
      </c>
      <c r="S901" t="s">
        <v>39</v>
      </c>
      <c r="T901">
        <v>790.28562428860801</v>
      </c>
      <c r="U901">
        <v>9891524.1600000001</v>
      </c>
      <c r="V901">
        <v>15401086.246136393</v>
      </c>
      <c r="W901" t="s">
        <v>30</v>
      </c>
      <c r="X901" t="s">
        <v>243</v>
      </c>
      <c r="Y901" t="s">
        <v>244</v>
      </c>
      <c r="Z901" t="b">
        <v>0</v>
      </c>
      <c r="AB901" t="s">
        <v>45</v>
      </c>
      <c r="AC901" t="s">
        <v>245</v>
      </c>
    </row>
    <row r="902" spans="2:29" x14ac:dyDescent="0.35">
      <c r="B902" t="s">
        <v>563</v>
      </c>
      <c r="C902">
        <v>620.01</v>
      </c>
      <c r="D902" t="s">
        <v>39</v>
      </c>
      <c r="E902" s="10">
        <v>965.35451251094401</v>
      </c>
      <c r="F902" t="s">
        <v>30</v>
      </c>
      <c r="G902" s="14">
        <v>46143</v>
      </c>
      <c r="H902">
        <v>10987</v>
      </c>
      <c r="I902">
        <v>6812049.8700000001</v>
      </c>
      <c r="J902">
        <v>17533.046393579501</v>
      </c>
      <c r="K902" t="s">
        <v>454</v>
      </c>
      <c r="L902" s="9" t="s">
        <v>455</v>
      </c>
      <c r="M902" t="s">
        <v>50</v>
      </c>
      <c r="N902" s="12">
        <v>439.12022896963197</v>
      </c>
      <c r="O902" s="13">
        <v>0.45487976000387087</v>
      </c>
      <c r="P902" s="9" t="s">
        <v>563</v>
      </c>
      <c r="Q902">
        <v>337.98</v>
      </c>
      <c r="R902">
        <v>3.3798000000000004</v>
      </c>
      <c r="S902" t="s">
        <v>39</v>
      </c>
      <c r="T902">
        <v>526.23428354131204</v>
      </c>
      <c r="U902">
        <v>4071645.06</v>
      </c>
      <c r="V902">
        <v>6339544.4138221862</v>
      </c>
      <c r="W902" t="s">
        <v>249</v>
      </c>
      <c r="X902" t="s">
        <v>317</v>
      </c>
      <c r="Y902" t="s">
        <v>564</v>
      </c>
      <c r="Z902" t="b">
        <v>0</v>
      </c>
      <c r="AA902" t="s">
        <v>565</v>
      </c>
      <c r="AB902" t="s">
        <v>45</v>
      </c>
      <c r="AC902" t="s">
        <v>251</v>
      </c>
    </row>
    <row r="903" spans="2:29" x14ac:dyDescent="0.35">
      <c r="B903" t="s">
        <v>563</v>
      </c>
      <c r="C903">
        <v>297.02999999999997</v>
      </c>
      <c r="D903" t="s">
        <v>39</v>
      </c>
      <c r="E903" s="10">
        <v>462.47520338563197</v>
      </c>
      <c r="F903" t="s">
        <v>30</v>
      </c>
      <c r="G903" s="14">
        <v>46143</v>
      </c>
      <c r="H903">
        <v>7765</v>
      </c>
      <c r="I903">
        <v>2306437.9499999997</v>
      </c>
      <c r="J903">
        <v>42973.152925440001</v>
      </c>
      <c r="K903" t="s">
        <v>454</v>
      </c>
      <c r="L903" s="9" t="s">
        <v>455</v>
      </c>
      <c r="M903" t="s">
        <v>50</v>
      </c>
      <c r="N903" s="12">
        <v>63.260840701471977</v>
      </c>
      <c r="O903" s="13">
        <v>0.13678752987913675</v>
      </c>
      <c r="P903" s="9" t="s">
        <v>563</v>
      </c>
      <c r="Q903">
        <v>256.39999999999998</v>
      </c>
      <c r="R903">
        <v>2.5639999999999996</v>
      </c>
      <c r="S903" t="s">
        <v>39</v>
      </c>
      <c r="T903">
        <v>399.21436268415999</v>
      </c>
      <c r="U903">
        <v>1702495.9999999998</v>
      </c>
      <c r="V903">
        <v>2650783.3682228224</v>
      </c>
      <c r="W903" t="s">
        <v>249</v>
      </c>
      <c r="X903" t="s">
        <v>317</v>
      </c>
      <c r="Y903" t="s">
        <v>564</v>
      </c>
      <c r="Z903" t="b">
        <v>0</v>
      </c>
      <c r="AA903" t="s">
        <v>565</v>
      </c>
      <c r="AB903" t="s">
        <v>45</v>
      </c>
      <c r="AC903" t="s">
        <v>251</v>
      </c>
    </row>
    <row r="904" spans="2:29" x14ac:dyDescent="0.35">
      <c r="B904" t="s">
        <v>563</v>
      </c>
      <c r="C904">
        <v>634.82000000000005</v>
      </c>
      <c r="D904" t="s">
        <v>39</v>
      </c>
      <c r="E904" s="10">
        <v>988.41365725100809</v>
      </c>
      <c r="F904" t="s">
        <v>30</v>
      </c>
      <c r="G904" s="14">
        <v>46143</v>
      </c>
      <c r="H904">
        <v>9922</v>
      </c>
      <c r="I904">
        <v>6298684.04</v>
      </c>
      <c r="J904">
        <v>343.78522340351998</v>
      </c>
      <c r="K904" t="s">
        <v>454</v>
      </c>
      <c r="L904" s="9" t="s">
        <v>455</v>
      </c>
      <c r="M904" t="s">
        <v>50</v>
      </c>
      <c r="N904" s="12">
        <v>93.170777936896002</v>
      </c>
      <c r="O904" s="13">
        <v>9.4262940676097154E-2</v>
      </c>
      <c r="P904" s="9" t="s">
        <v>563</v>
      </c>
      <c r="Q904">
        <v>574.98</v>
      </c>
      <c r="R904">
        <v>5.7498000000000005</v>
      </c>
      <c r="S904" t="s">
        <v>39</v>
      </c>
      <c r="T904">
        <v>895.24287931411209</v>
      </c>
      <c r="U904">
        <v>7479339.8399999999</v>
      </c>
      <c r="V904">
        <v>11645319.37411797</v>
      </c>
      <c r="W904" t="s">
        <v>249</v>
      </c>
      <c r="X904" t="s">
        <v>317</v>
      </c>
      <c r="Y904" t="s">
        <v>564</v>
      </c>
      <c r="Z904" t="b">
        <v>0</v>
      </c>
      <c r="AA904" t="s">
        <v>565</v>
      </c>
      <c r="AB904" t="s">
        <v>45</v>
      </c>
      <c r="AC904" t="s">
        <v>251</v>
      </c>
    </row>
    <row r="905" spans="2:29" x14ac:dyDescent="0.35">
      <c r="B905" t="s">
        <v>1133</v>
      </c>
      <c r="C905">
        <v>153.46</v>
      </c>
      <c r="D905" t="s">
        <v>39</v>
      </c>
      <c r="E905" s="10">
        <v>238.93695825862403</v>
      </c>
      <c r="F905" t="s">
        <v>30</v>
      </c>
      <c r="G905" s="14">
        <v>46143</v>
      </c>
      <c r="H905">
        <v>18011</v>
      </c>
      <c r="I905">
        <v>2763968.06</v>
      </c>
      <c r="J905">
        <v>2797.3560736610498</v>
      </c>
      <c r="K905" t="s">
        <v>241</v>
      </c>
      <c r="L905" s="9" t="s">
        <v>242</v>
      </c>
      <c r="M905" t="s">
        <v>50</v>
      </c>
      <c r="N905" s="12">
        <v>222.02795678144003</v>
      </c>
      <c r="O905" s="13">
        <v>0.92923237325687469</v>
      </c>
      <c r="P905" s="9" t="s">
        <v>1133</v>
      </c>
      <c r="Q905">
        <v>10.86</v>
      </c>
      <c r="R905">
        <v>10.86</v>
      </c>
      <c r="S905" t="s">
        <v>39</v>
      </c>
      <c r="T905">
        <v>16.909001477183999</v>
      </c>
      <c r="U905">
        <v>123869.15999999999</v>
      </c>
      <c r="V905">
        <v>192864.07084876069</v>
      </c>
      <c r="W905" t="s">
        <v>30</v>
      </c>
      <c r="X905" t="s">
        <v>966</v>
      </c>
      <c r="Y905" t="s">
        <v>1134</v>
      </c>
      <c r="Z905" t="b">
        <v>0</v>
      </c>
      <c r="AB905" t="s">
        <v>45</v>
      </c>
      <c r="AC905" t="s">
        <v>968</v>
      </c>
    </row>
    <row r="906" spans="2:29" x14ac:dyDescent="0.35">
      <c r="B906" t="s">
        <v>1133</v>
      </c>
      <c r="C906">
        <v>215.3</v>
      </c>
      <c r="D906" t="s">
        <v>39</v>
      </c>
      <c r="E906" s="10">
        <v>335.22173278432001</v>
      </c>
      <c r="F906" t="s">
        <v>30</v>
      </c>
      <c r="G906" s="14">
        <v>46143</v>
      </c>
      <c r="H906">
        <v>13423</v>
      </c>
      <c r="I906">
        <v>2889971.9000000004</v>
      </c>
      <c r="J906">
        <v>285.44449731235198</v>
      </c>
      <c r="K906" t="s">
        <v>241</v>
      </c>
      <c r="L906" s="9" t="s">
        <v>242</v>
      </c>
      <c r="M906" t="s">
        <v>50</v>
      </c>
      <c r="N906" s="12">
        <v>1138.7418425753281</v>
      </c>
      <c r="O906" s="13">
        <v>3.3969809568044589</v>
      </c>
      <c r="P906" s="9" t="s">
        <v>1133</v>
      </c>
      <c r="Q906">
        <v>946.67</v>
      </c>
      <c r="R906">
        <v>946.67</v>
      </c>
      <c r="S906" t="s">
        <v>39</v>
      </c>
      <c r="T906">
        <v>1473.9635753596481</v>
      </c>
      <c r="U906">
        <v>15741228.76</v>
      </c>
      <c r="V906">
        <v>24509066.331080228</v>
      </c>
      <c r="W906" t="s">
        <v>30</v>
      </c>
      <c r="X906" t="s">
        <v>966</v>
      </c>
      <c r="Y906" t="s">
        <v>1134</v>
      </c>
      <c r="Z906" t="b">
        <v>0</v>
      </c>
      <c r="AB906" t="s">
        <v>45</v>
      </c>
      <c r="AC906" t="s">
        <v>968</v>
      </c>
    </row>
    <row r="907" spans="2:29" x14ac:dyDescent="0.35">
      <c r="B907" t="s">
        <v>1135</v>
      </c>
      <c r="C907">
        <v>745.48</v>
      </c>
      <c r="D907" t="s">
        <v>39</v>
      </c>
      <c r="E907" s="10">
        <v>1160.711088509312</v>
      </c>
      <c r="F907" t="s">
        <v>30</v>
      </c>
      <c r="G907" s="14">
        <v>46143</v>
      </c>
      <c r="H907">
        <v>670</v>
      </c>
      <c r="I907">
        <v>499471.60000000003</v>
      </c>
      <c r="J907">
        <v>2223.4714143179199</v>
      </c>
      <c r="K907" t="s">
        <v>985</v>
      </c>
      <c r="L907" s="9" t="s">
        <v>986</v>
      </c>
      <c r="M907" t="s">
        <v>50</v>
      </c>
      <c r="N907" s="12">
        <v>713.66573822118403</v>
      </c>
      <c r="O907" s="13">
        <v>0.61485217577936369</v>
      </c>
      <c r="P907" s="9" t="s">
        <v>1135</v>
      </c>
      <c r="Q907">
        <v>287.12</v>
      </c>
      <c r="R907">
        <v>2.8712</v>
      </c>
      <c r="S907" t="s">
        <v>39</v>
      </c>
      <c r="T907">
        <v>447.04535028812802</v>
      </c>
      <c r="U907">
        <v>5233910.4800000004</v>
      </c>
      <c r="V907">
        <v>8149189.6904022861</v>
      </c>
      <c r="W907" t="s">
        <v>249</v>
      </c>
      <c r="X907" t="s">
        <v>987</v>
      </c>
      <c r="Y907" t="s">
        <v>1136</v>
      </c>
      <c r="Z907" t="b">
        <v>0</v>
      </c>
      <c r="AB907" t="s">
        <v>45</v>
      </c>
      <c r="AC907" t="s">
        <v>251</v>
      </c>
    </row>
    <row r="908" spans="2:29" x14ac:dyDescent="0.35">
      <c r="B908" t="s">
        <v>1137</v>
      </c>
      <c r="C908">
        <v>186.94</v>
      </c>
      <c r="D908" t="s">
        <v>39</v>
      </c>
      <c r="E908" s="10">
        <v>291.065261155136</v>
      </c>
      <c r="F908" t="s">
        <v>30</v>
      </c>
      <c r="G908" s="14">
        <v>46143</v>
      </c>
      <c r="H908">
        <v>3013</v>
      </c>
      <c r="I908">
        <v>563250.22</v>
      </c>
      <c r="J908">
        <v>1217.7283660502401</v>
      </c>
      <c r="K908" t="s">
        <v>474</v>
      </c>
      <c r="L908" s="9" t="s">
        <v>475</v>
      </c>
      <c r="M908" t="s">
        <v>50</v>
      </c>
      <c r="N908" s="12">
        <v>273.50232039430398</v>
      </c>
      <c r="O908" s="13">
        <v>0.93965978388787841</v>
      </c>
      <c r="P908" s="9" t="s">
        <v>1137</v>
      </c>
      <c r="Q908">
        <v>11.28</v>
      </c>
      <c r="R908">
        <v>1.128E-2</v>
      </c>
      <c r="S908" t="s">
        <v>39</v>
      </c>
      <c r="T908">
        <v>17.562940760831999</v>
      </c>
      <c r="U908">
        <v>113567.03999999999</v>
      </c>
      <c r="V908">
        <v>176823.68758005658</v>
      </c>
      <c r="W908" t="s">
        <v>352</v>
      </c>
      <c r="X908" t="s">
        <v>476</v>
      </c>
      <c r="Y908" t="s">
        <v>1138</v>
      </c>
      <c r="Z908" t="b">
        <v>0</v>
      </c>
      <c r="AA908" t="s">
        <v>44</v>
      </c>
      <c r="AB908" t="s">
        <v>45</v>
      </c>
      <c r="AC908" t="s">
        <v>434</v>
      </c>
    </row>
    <row r="909" spans="2:29" x14ac:dyDescent="0.35">
      <c r="B909" t="s">
        <v>924</v>
      </c>
      <c r="C909">
        <v>569.17999999999995</v>
      </c>
      <c r="D909" t="s">
        <v>39</v>
      </c>
      <c r="E909" s="10">
        <v>886.21228920659189</v>
      </c>
      <c r="F909" t="s">
        <v>30</v>
      </c>
      <c r="G909" s="14">
        <v>46143</v>
      </c>
      <c r="H909">
        <v>10622</v>
      </c>
      <c r="I909">
        <v>6045829.959999999</v>
      </c>
      <c r="J909">
        <v>14670.972128813401</v>
      </c>
      <c r="K909" t="s">
        <v>474</v>
      </c>
      <c r="L909" s="9" t="s">
        <v>475</v>
      </c>
      <c r="M909" t="s">
        <v>50</v>
      </c>
      <c r="N909" s="12">
        <v>186.31041590790426</v>
      </c>
      <c r="O909" s="13">
        <v>0.21023226395867772</v>
      </c>
      <c r="P909" s="9" t="s">
        <v>924</v>
      </c>
      <c r="Q909">
        <v>688.84</v>
      </c>
      <c r="R909">
        <v>0.68884000000000001</v>
      </c>
      <c r="S909" t="s">
        <v>39</v>
      </c>
      <c r="T909">
        <v>1072.5227051144961</v>
      </c>
      <c r="U909">
        <v>7115717.2000000002</v>
      </c>
      <c r="V909">
        <v>11079159.543832745</v>
      </c>
      <c r="W909" t="s">
        <v>352</v>
      </c>
      <c r="X909" t="s">
        <v>476</v>
      </c>
      <c r="Y909" t="s">
        <v>925</v>
      </c>
      <c r="Z909" t="b">
        <v>0</v>
      </c>
      <c r="AA909" t="s">
        <v>44</v>
      </c>
      <c r="AB909" t="s">
        <v>45</v>
      </c>
      <c r="AC909" t="s">
        <v>434</v>
      </c>
    </row>
    <row r="910" spans="2:29" x14ac:dyDescent="0.35">
      <c r="B910" t="s">
        <v>1055</v>
      </c>
      <c r="C910">
        <v>393.22</v>
      </c>
      <c r="D910" t="s">
        <v>39</v>
      </c>
      <c r="E910" s="10">
        <v>612.24286932396808</v>
      </c>
      <c r="F910" t="s">
        <v>30</v>
      </c>
      <c r="G910" s="14">
        <v>46143</v>
      </c>
      <c r="H910">
        <v>8486</v>
      </c>
      <c r="I910">
        <v>3336864.9200000004</v>
      </c>
      <c r="J910">
        <v>14590.132777368201</v>
      </c>
      <c r="K910" t="s">
        <v>275</v>
      </c>
      <c r="L910" s="9" t="s">
        <v>276</v>
      </c>
      <c r="M910" t="s">
        <v>50</v>
      </c>
      <c r="N910" s="12">
        <v>264.87654984332801</v>
      </c>
      <c r="O910" s="13">
        <v>0.43263313158028582</v>
      </c>
      <c r="P910" s="9" t="s">
        <v>1055</v>
      </c>
      <c r="Q910">
        <v>563.34</v>
      </c>
      <c r="R910">
        <v>563.34</v>
      </c>
      <c r="S910" t="s">
        <v>39</v>
      </c>
      <c r="T910">
        <v>877.11941916729609</v>
      </c>
      <c r="U910">
        <v>9448901.8200000003</v>
      </c>
      <c r="V910">
        <v>14711924.017693058</v>
      </c>
      <c r="W910" t="s">
        <v>30</v>
      </c>
      <c r="X910" t="s">
        <v>277</v>
      </c>
      <c r="Y910" t="s">
        <v>1056</v>
      </c>
      <c r="Z910" t="b">
        <v>0</v>
      </c>
      <c r="AA910" t="s">
        <v>44</v>
      </c>
      <c r="AB910" t="s">
        <v>45</v>
      </c>
      <c r="AC910" t="s">
        <v>610</v>
      </c>
    </row>
    <row r="911" spans="2:29" x14ac:dyDescent="0.35">
      <c r="B911" t="s">
        <v>296</v>
      </c>
      <c r="C911">
        <v>455.85</v>
      </c>
      <c r="D911" t="s">
        <v>39</v>
      </c>
      <c r="E911" s="10">
        <v>709.7576725022401</v>
      </c>
      <c r="F911" t="s">
        <v>30</v>
      </c>
      <c r="G911" s="14">
        <v>46143</v>
      </c>
      <c r="H911">
        <v>3083</v>
      </c>
      <c r="I911">
        <v>1405385.55</v>
      </c>
      <c r="J911">
        <v>237.862629435488</v>
      </c>
      <c r="K911" t="s">
        <v>297</v>
      </c>
      <c r="L911" s="9" t="s">
        <v>298</v>
      </c>
      <c r="M911" t="s">
        <v>50</v>
      </c>
      <c r="N911" s="12">
        <v>825.52049569087978</v>
      </c>
      <c r="O911" s="13">
        <v>1.1631018975540195</v>
      </c>
      <c r="P911" s="9" t="s">
        <v>296</v>
      </c>
      <c r="Q911">
        <v>986.05</v>
      </c>
      <c r="R911">
        <v>986.05</v>
      </c>
      <c r="S911" t="s">
        <v>39</v>
      </c>
      <c r="T911">
        <v>1535.2781681931199</v>
      </c>
      <c r="U911">
        <v>13224902.6</v>
      </c>
      <c r="V911">
        <v>20591150.791806124</v>
      </c>
      <c r="W911" t="s">
        <v>30</v>
      </c>
      <c r="X911" t="s">
        <v>299</v>
      </c>
      <c r="Y911" t="s">
        <v>300</v>
      </c>
      <c r="Z911" t="b">
        <v>0</v>
      </c>
      <c r="AB911" t="s">
        <v>45</v>
      </c>
      <c r="AC911" t="s">
        <v>301</v>
      </c>
    </row>
    <row r="912" spans="2:29" x14ac:dyDescent="0.35">
      <c r="B912" t="s">
        <v>274</v>
      </c>
      <c r="C912">
        <v>398.19</v>
      </c>
      <c r="D912" t="s">
        <v>39</v>
      </c>
      <c r="E912" s="10">
        <v>619.98115084713606</v>
      </c>
      <c r="F912" t="s">
        <v>30</v>
      </c>
      <c r="G912" s="14">
        <v>46143</v>
      </c>
      <c r="H912">
        <v>8278</v>
      </c>
      <c r="I912">
        <v>3296216.82</v>
      </c>
      <c r="J912">
        <v>5383.4773027174397</v>
      </c>
      <c r="K912" t="s">
        <v>275</v>
      </c>
      <c r="L912" s="9" t="s">
        <v>276</v>
      </c>
      <c r="M912" t="s">
        <v>50</v>
      </c>
      <c r="N912" s="12">
        <v>138.71297804809603</v>
      </c>
      <c r="O912" s="13">
        <v>0.22373741178834228</v>
      </c>
      <c r="P912" s="9" t="s">
        <v>274</v>
      </c>
      <c r="Q912">
        <v>309.10000000000002</v>
      </c>
      <c r="R912">
        <v>309.10000000000002</v>
      </c>
      <c r="S912" t="s">
        <v>39</v>
      </c>
      <c r="T912">
        <v>481.26817279904003</v>
      </c>
      <c r="U912">
        <v>556998.20000000007</v>
      </c>
      <c r="V912">
        <v>867245.24738387018</v>
      </c>
      <c r="W912" t="s">
        <v>30</v>
      </c>
      <c r="X912" t="s">
        <v>277</v>
      </c>
      <c r="Y912" t="s">
        <v>278</v>
      </c>
      <c r="Z912" t="b">
        <v>0</v>
      </c>
      <c r="AA912" t="s">
        <v>44</v>
      </c>
      <c r="AB912" t="s">
        <v>45</v>
      </c>
      <c r="AC912" t="s">
        <v>245</v>
      </c>
    </row>
    <row r="913" spans="2:29" x14ac:dyDescent="0.35">
      <c r="B913" t="s">
        <v>296</v>
      </c>
      <c r="C913">
        <v>390.83</v>
      </c>
      <c r="D913" t="s">
        <v>39</v>
      </c>
      <c r="E913" s="10">
        <v>608.52164340035199</v>
      </c>
      <c r="F913" t="s">
        <v>30</v>
      </c>
      <c r="G913" s="14">
        <v>46143</v>
      </c>
      <c r="H913">
        <v>17974</v>
      </c>
      <c r="I913">
        <v>7024778.4199999999</v>
      </c>
      <c r="J913">
        <v>320.46294595170201</v>
      </c>
      <c r="K913" t="s">
        <v>297</v>
      </c>
      <c r="L913" s="9" t="s">
        <v>298</v>
      </c>
      <c r="M913" t="s">
        <v>50</v>
      </c>
      <c r="N913" s="12">
        <v>391.55393107571194</v>
      </c>
      <c r="O913" s="13">
        <v>0.64345111685387502</v>
      </c>
      <c r="P913" s="9" t="s">
        <v>296</v>
      </c>
      <c r="Q913">
        <v>642.30999999999995</v>
      </c>
      <c r="R913">
        <v>642.30999999999995</v>
      </c>
      <c r="S913" t="s">
        <v>39</v>
      </c>
      <c r="T913">
        <v>1000.0755744760639</v>
      </c>
      <c r="U913">
        <v>1540259.38</v>
      </c>
      <c r="V913">
        <v>2398181.2275936012</v>
      </c>
      <c r="W913" t="s">
        <v>30</v>
      </c>
      <c r="X913" t="s">
        <v>299</v>
      </c>
      <c r="Y913" t="s">
        <v>300</v>
      </c>
      <c r="Z913" t="b">
        <v>0</v>
      </c>
      <c r="AB913" t="s">
        <v>45</v>
      </c>
      <c r="AC913" t="s">
        <v>301</v>
      </c>
    </row>
    <row r="914" spans="2:29" x14ac:dyDescent="0.35">
      <c r="B914" t="s">
        <v>307</v>
      </c>
      <c r="C914">
        <v>86.7</v>
      </c>
      <c r="D914" t="s">
        <v>179</v>
      </c>
      <c r="E914" s="10">
        <v>86.7</v>
      </c>
      <c r="F914" t="s">
        <v>30</v>
      </c>
      <c r="G914" s="14">
        <v>46143</v>
      </c>
      <c r="H914">
        <v>8418</v>
      </c>
      <c r="I914">
        <v>729840.6</v>
      </c>
      <c r="J914">
        <v>578421.6</v>
      </c>
      <c r="K914" t="s">
        <v>269</v>
      </c>
      <c r="L914" s="9" t="s">
        <v>270</v>
      </c>
      <c r="M914" t="s">
        <v>50</v>
      </c>
      <c r="N914" s="12">
        <v>518.16269740851203</v>
      </c>
      <c r="O914" s="13">
        <v>5.9765017002135181</v>
      </c>
      <c r="P914" s="9" t="s">
        <v>307</v>
      </c>
      <c r="Q914">
        <v>388.48</v>
      </c>
      <c r="R914">
        <v>388.48</v>
      </c>
      <c r="S914" t="s">
        <v>39</v>
      </c>
      <c r="T914">
        <v>604.86269740851208</v>
      </c>
      <c r="U914">
        <v>947502.72000000009</v>
      </c>
      <c r="V914">
        <v>1475260.1189793609</v>
      </c>
      <c r="W914" t="s">
        <v>30</v>
      </c>
      <c r="X914" t="s">
        <v>271</v>
      </c>
      <c r="Y914" t="s">
        <v>308</v>
      </c>
      <c r="Z914" t="b">
        <v>0</v>
      </c>
      <c r="AA914" t="s">
        <v>35</v>
      </c>
      <c r="AB914" t="s">
        <v>36</v>
      </c>
      <c r="AC914" t="s">
        <v>273</v>
      </c>
    </row>
    <row r="915" spans="2:29" x14ac:dyDescent="0.35">
      <c r="B915" t="s">
        <v>307</v>
      </c>
      <c r="C915">
        <v>376.41</v>
      </c>
      <c r="D915" t="s">
        <v>179</v>
      </c>
      <c r="E915" s="10">
        <v>376.41</v>
      </c>
      <c r="F915" t="s">
        <v>30</v>
      </c>
      <c r="G915" s="14">
        <v>46143</v>
      </c>
      <c r="H915">
        <v>17554</v>
      </c>
      <c r="I915">
        <v>6607501.1400000006</v>
      </c>
      <c r="J915">
        <v>758788.8</v>
      </c>
      <c r="K915" t="s">
        <v>269</v>
      </c>
      <c r="L915" s="9" t="s">
        <v>270</v>
      </c>
      <c r="M915" t="s">
        <v>50</v>
      </c>
      <c r="N915" s="12">
        <v>562.56896140380809</v>
      </c>
      <c r="O915" s="13">
        <v>1.4945643351765576</v>
      </c>
      <c r="P915" s="9" t="s">
        <v>307</v>
      </c>
      <c r="Q915">
        <v>603.07000000000005</v>
      </c>
      <c r="R915">
        <v>603.07000000000005</v>
      </c>
      <c r="S915" t="s">
        <v>39</v>
      </c>
      <c r="T915">
        <v>938.97896140380806</v>
      </c>
      <c r="U915">
        <v>8024449.4200000009</v>
      </c>
      <c r="V915">
        <v>12494054.060439071</v>
      </c>
      <c r="W915" t="s">
        <v>30</v>
      </c>
      <c r="X915" t="s">
        <v>271</v>
      </c>
      <c r="Y915" t="s">
        <v>308</v>
      </c>
      <c r="Z915" t="b">
        <v>0</v>
      </c>
      <c r="AA915" t="s">
        <v>35</v>
      </c>
      <c r="AB915" t="s">
        <v>36</v>
      </c>
      <c r="AC915" t="s">
        <v>273</v>
      </c>
    </row>
    <row r="916" spans="2:29" x14ac:dyDescent="0.35">
      <c r="B916" t="s">
        <v>1139</v>
      </c>
      <c r="C916">
        <v>971.31</v>
      </c>
      <c r="D916" t="s">
        <v>39</v>
      </c>
      <c r="E916" s="10">
        <v>1512.3280133336639</v>
      </c>
      <c r="F916" t="s">
        <v>30</v>
      </c>
      <c r="G916" s="14">
        <v>46143</v>
      </c>
      <c r="H916">
        <v>9442</v>
      </c>
      <c r="I916">
        <v>9171109.0199999996</v>
      </c>
      <c r="J916">
        <v>4160.4551424662404</v>
      </c>
      <c r="K916" t="s">
        <v>927</v>
      </c>
      <c r="L916" s="9" t="s">
        <v>928</v>
      </c>
      <c r="M916" t="s">
        <v>50</v>
      </c>
      <c r="N916" s="12">
        <v>19.882868219487818</v>
      </c>
      <c r="O916" s="13">
        <v>1.3147192966200167E-2</v>
      </c>
      <c r="P916" s="9" t="s">
        <v>1139</v>
      </c>
      <c r="Q916">
        <v>958.54</v>
      </c>
      <c r="R916">
        <v>958.54</v>
      </c>
      <c r="S916" t="s">
        <v>39</v>
      </c>
      <c r="T916">
        <v>1492.4451451141761</v>
      </c>
      <c r="U916">
        <v>18483526.82</v>
      </c>
      <c r="V916">
        <v>28778819.733236656</v>
      </c>
      <c r="W916" t="s">
        <v>30</v>
      </c>
      <c r="X916" t="s">
        <v>929</v>
      </c>
      <c r="Y916" t="s">
        <v>930</v>
      </c>
      <c r="Z916" t="b">
        <v>0</v>
      </c>
      <c r="AA916" t="s">
        <v>44</v>
      </c>
      <c r="AB916" t="s">
        <v>45</v>
      </c>
      <c r="AC916" t="s">
        <v>245</v>
      </c>
    </row>
    <row r="917" spans="2:29" x14ac:dyDescent="0.35">
      <c r="B917" t="s">
        <v>1140</v>
      </c>
      <c r="C917">
        <v>761.4</v>
      </c>
      <c r="D917" t="s">
        <v>29</v>
      </c>
      <c r="E917" s="10">
        <v>7073.9865674999992</v>
      </c>
      <c r="F917" t="s">
        <v>30</v>
      </c>
      <c r="G917" s="14">
        <v>46143</v>
      </c>
      <c r="H917">
        <v>1176</v>
      </c>
      <c r="I917">
        <v>895406.4</v>
      </c>
      <c r="J917">
        <v>61066.323759999999</v>
      </c>
      <c r="K917" t="s">
        <v>1141</v>
      </c>
      <c r="L917" s="9" t="s">
        <v>1142</v>
      </c>
      <c r="M917" t="s">
        <v>50</v>
      </c>
      <c r="N917" s="12">
        <v>5532.6205359757751</v>
      </c>
      <c r="O917" s="13">
        <v>0.78210786565446444</v>
      </c>
      <c r="P917" s="9" t="s">
        <v>1140</v>
      </c>
      <c r="Q917">
        <v>989.96</v>
      </c>
      <c r="R917">
        <v>989.96</v>
      </c>
      <c r="S917" t="s">
        <v>39</v>
      </c>
      <c r="T917">
        <v>1541.3660315242241</v>
      </c>
      <c r="U917">
        <v>15766102.960000001</v>
      </c>
      <c r="V917">
        <v>24547795.418054793</v>
      </c>
      <c r="W917" t="s">
        <v>30</v>
      </c>
      <c r="X917" t="s">
        <v>1143</v>
      </c>
      <c r="Y917" t="s">
        <v>1144</v>
      </c>
      <c r="Z917" t="b">
        <v>0</v>
      </c>
      <c r="AA917" t="s">
        <v>35</v>
      </c>
      <c r="AB917" t="s">
        <v>36</v>
      </c>
      <c r="AC917" t="s">
        <v>273</v>
      </c>
    </row>
    <row r="918" spans="2:29" x14ac:dyDescent="0.35">
      <c r="B918" t="s">
        <v>1145</v>
      </c>
      <c r="C918">
        <v>349.92</v>
      </c>
      <c r="D918" t="s">
        <v>39</v>
      </c>
      <c r="E918" s="10">
        <v>544.82484317644798</v>
      </c>
      <c r="F918" t="s">
        <v>30</v>
      </c>
      <c r="G918" s="14">
        <v>46143</v>
      </c>
      <c r="H918">
        <v>11241</v>
      </c>
      <c r="I918">
        <v>3933450.72</v>
      </c>
      <c r="J918">
        <v>4999.8329229772798</v>
      </c>
      <c r="K918" t="s">
        <v>927</v>
      </c>
      <c r="L918" s="9" t="s">
        <v>928</v>
      </c>
      <c r="M918" t="s">
        <v>50</v>
      </c>
      <c r="N918" s="12">
        <v>465.71375983798396</v>
      </c>
      <c r="O918" s="13">
        <v>0.85479538180155457</v>
      </c>
      <c r="P918" s="9" t="s">
        <v>1145</v>
      </c>
      <c r="Q918">
        <v>649.03</v>
      </c>
      <c r="R918">
        <v>649.03</v>
      </c>
      <c r="S918" t="s">
        <v>39</v>
      </c>
      <c r="T918">
        <v>1010.5386030144319</v>
      </c>
      <c r="U918">
        <v>11588430.65</v>
      </c>
      <c r="V918">
        <v>18043166.756822683</v>
      </c>
      <c r="W918" t="s">
        <v>30</v>
      </c>
      <c r="X918" t="s">
        <v>929</v>
      </c>
      <c r="Y918" t="s">
        <v>930</v>
      </c>
      <c r="Z918" t="b">
        <v>0</v>
      </c>
      <c r="AA918" t="s">
        <v>44</v>
      </c>
      <c r="AB918" t="s">
        <v>45</v>
      </c>
      <c r="AC918" t="s">
        <v>245</v>
      </c>
    </row>
    <row r="919" spans="2:29" x14ac:dyDescent="0.35">
      <c r="B919" t="s">
        <v>1127</v>
      </c>
      <c r="C919">
        <v>502.82</v>
      </c>
      <c r="D919" t="s">
        <v>39</v>
      </c>
      <c r="E919" s="10">
        <v>782.88988239020796</v>
      </c>
      <c r="F919" t="s">
        <v>30</v>
      </c>
      <c r="G919" s="14">
        <v>46143</v>
      </c>
      <c r="H919">
        <v>3412</v>
      </c>
      <c r="I919">
        <v>1715621.84</v>
      </c>
      <c r="J919">
        <v>2885.7260030569901</v>
      </c>
      <c r="K919" t="s">
        <v>297</v>
      </c>
      <c r="L919" s="9" t="s">
        <v>298</v>
      </c>
      <c r="M919" t="s">
        <v>50</v>
      </c>
      <c r="N919" s="12">
        <v>521.03390923801589</v>
      </c>
      <c r="O919" s="13">
        <v>0.66552643092955721</v>
      </c>
      <c r="P919" s="9" t="s">
        <v>1127</v>
      </c>
      <c r="Q919">
        <v>168.18</v>
      </c>
      <c r="R919">
        <v>168.18</v>
      </c>
      <c r="S919" t="s">
        <v>39</v>
      </c>
      <c r="T919">
        <v>261.85597315219201</v>
      </c>
      <c r="U919">
        <v>2045236.98</v>
      </c>
      <c r="V919">
        <v>3184430.4895038069</v>
      </c>
      <c r="W919" t="s">
        <v>30</v>
      </c>
      <c r="X919" t="s">
        <v>299</v>
      </c>
      <c r="Y919" t="s">
        <v>1128</v>
      </c>
      <c r="Z919" t="b">
        <v>0</v>
      </c>
      <c r="AA919" t="s">
        <v>44</v>
      </c>
      <c r="AB919" t="s">
        <v>45</v>
      </c>
      <c r="AC919" t="s">
        <v>301</v>
      </c>
    </row>
    <row r="920" spans="2:29" x14ac:dyDescent="0.35">
      <c r="B920" t="s">
        <v>1127</v>
      </c>
      <c r="C920">
        <v>656.13</v>
      </c>
      <c r="D920" t="s">
        <v>39</v>
      </c>
      <c r="E920" s="10">
        <v>1021.593290904672</v>
      </c>
      <c r="F920" t="s">
        <v>30</v>
      </c>
      <c r="G920" s="14">
        <v>46143</v>
      </c>
      <c r="H920">
        <v>9562</v>
      </c>
      <c r="I920">
        <v>6273915.0599999996</v>
      </c>
      <c r="J920">
        <v>6847.4854309826896</v>
      </c>
      <c r="K920" t="s">
        <v>297</v>
      </c>
      <c r="L920" s="9" t="s">
        <v>298</v>
      </c>
      <c r="M920" t="s">
        <v>50</v>
      </c>
      <c r="N920" s="12">
        <v>153.19306218601594</v>
      </c>
      <c r="O920" s="13">
        <v>0.14995503939768026</v>
      </c>
      <c r="P920" s="9" t="s">
        <v>1127</v>
      </c>
      <c r="Q920">
        <v>557.74</v>
      </c>
      <c r="R920">
        <v>557.74</v>
      </c>
      <c r="S920" t="s">
        <v>39</v>
      </c>
      <c r="T920">
        <v>868.40022871865608</v>
      </c>
      <c r="U920">
        <v>4142334.98</v>
      </c>
      <c r="V920">
        <v>6449608.4986934587</v>
      </c>
      <c r="W920" t="s">
        <v>30</v>
      </c>
      <c r="X920" t="s">
        <v>299</v>
      </c>
      <c r="Y920" t="s">
        <v>1128</v>
      </c>
      <c r="Z920" t="b">
        <v>0</v>
      </c>
      <c r="AA920" t="s">
        <v>44</v>
      </c>
      <c r="AB920" t="s">
        <v>45</v>
      </c>
      <c r="AC920" t="s">
        <v>301</v>
      </c>
    </row>
    <row r="921" spans="2:29" x14ac:dyDescent="0.35">
      <c r="B921" t="s">
        <v>1127</v>
      </c>
      <c r="C921">
        <v>862.98</v>
      </c>
      <c r="D921" t="s">
        <v>39</v>
      </c>
      <c r="E921" s="10">
        <v>1343.6583881013121</v>
      </c>
      <c r="F921" t="s">
        <v>30</v>
      </c>
      <c r="G921" s="14">
        <v>46143</v>
      </c>
      <c r="H921">
        <v>11086</v>
      </c>
      <c r="I921">
        <v>9566996.2799999993</v>
      </c>
      <c r="J921">
        <v>3961.7720396118898</v>
      </c>
      <c r="K921" t="s">
        <v>297</v>
      </c>
      <c r="L921" s="9" t="s">
        <v>298</v>
      </c>
      <c r="M921" t="s">
        <v>50</v>
      </c>
      <c r="N921" s="12">
        <v>790.30119427155216</v>
      </c>
      <c r="O921" s="13">
        <v>0.58817122065401295</v>
      </c>
      <c r="P921" s="9" t="s">
        <v>1127</v>
      </c>
      <c r="Q921">
        <v>355.4</v>
      </c>
      <c r="R921">
        <v>355.4</v>
      </c>
      <c r="S921" t="s">
        <v>39</v>
      </c>
      <c r="T921">
        <v>553.35719382975992</v>
      </c>
      <c r="U921">
        <v>739232</v>
      </c>
      <c r="V921">
        <v>1150982.9631659007</v>
      </c>
      <c r="W921" t="s">
        <v>30</v>
      </c>
      <c r="X921" t="s">
        <v>299</v>
      </c>
      <c r="Y921" t="s">
        <v>1128</v>
      </c>
      <c r="Z921" t="b">
        <v>0</v>
      </c>
      <c r="AA921" t="s">
        <v>44</v>
      </c>
      <c r="AB921" t="s">
        <v>45</v>
      </c>
      <c r="AC921" t="s">
        <v>301</v>
      </c>
    </row>
    <row r="922" spans="2:29" x14ac:dyDescent="0.35">
      <c r="B922" t="s">
        <v>1146</v>
      </c>
      <c r="C922">
        <v>750.07</v>
      </c>
      <c r="D922" t="s">
        <v>39</v>
      </c>
      <c r="E922" s="10">
        <v>1167.8577106806081</v>
      </c>
      <c r="F922" t="s">
        <v>30</v>
      </c>
      <c r="G922" s="14">
        <v>46143</v>
      </c>
      <c r="H922">
        <v>1986</v>
      </c>
      <c r="I922">
        <v>1489639.02</v>
      </c>
      <c r="J922">
        <v>1072.95788613778</v>
      </c>
      <c r="K922" t="s">
        <v>297</v>
      </c>
      <c r="L922" s="9" t="s">
        <v>298</v>
      </c>
      <c r="M922" t="s">
        <v>50</v>
      </c>
      <c r="N922" s="12">
        <v>38.535707786400053</v>
      </c>
      <c r="O922" s="13">
        <v>3.2996920287439883E-2</v>
      </c>
      <c r="P922" s="9" t="s">
        <v>1146</v>
      </c>
      <c r="Q922">
        <v>774.82</v>
      </c>
      <c r="R922">
        <v>774.82</v>
      </c>
      <c r="S922" t="s">
        <v>39</v>
      </c>
      <c r="T922">
        <v>1206.3934184670081</v>
      </c>
      <c r="U922">
        <v>4648145.1800000006</v>
      </c>
      <c r="V922">
        <v>7237154.1173835816</v>
      </c>
      <c r="W922" t="s">
        <v>30</v>
      </c>
      <c r="X922" t="s">
        <v>299</v>
      </c>
      <c r="Y922" t="s">
        <v>1147</v>
      </c>
      <c r="Z922" t="b">
        <v>0</v>
      </c>
      <c r="AA922" t="s">
        <v>44</v>
      </c>
      <c r="AB922" t="s">
        <v>45</v>
      </c>
      <c r="AC922" t="s">
        <v>301</v>
      </c>
    </row>
    <row r="923" spans="2:29" x14ac:dyDescent="0.35">
      <c r="B923" t="s">
        <v>1146</v>
      </c>
      <c r="C923">
        <v>784.7</v>
      </c>
      <c r="D923" t="s">
        <v>39</v>
      </c>
      <c r="E923" s="10">
        <v>1221.7765616156801</v>
      </c>
      <c r="F923" t="s">
        <v>30</v>
      </c>
      <c r="G923" s="14">
        <v>46143</v>
      </c>
      <c r="H923">
        <v>16175</v>
      </c>
      <c r="I923">
        <v>12692522.5</v>
      </c>
      <c r="J923">
        <v>1072.95788613778</v>
      </c>
      <c r="K923" t="s">
        <v>297</v>
      </c>
      <c r="L923" s="9" t="s">
        <v>298</v>
      </c>
      <c r="M923" t="s">
        <v>50</v>
      </c>
      <c r="N923" s="12">
        <v>11.848757020384028</v>
      </c>
      <c r="O923" s="13">
        <v>9.6979737479291669E-3</v>
      </c>
      <c r="P923" s="9" t="s">
        <v>1146</v>
      </c>
      <c r="Q923">
        <v>777.09</v>
      </c>
      <c r="R923">
        <v>777.09</v>
      </c>
      <c r="S923" t="s">
        <v>39</v>
      </c>
      <c r="T923">
        <v>1209.927804595296</v>
      </c>
      <c r="U923">
        <v>5639342.1299999999</v>
      </c>
      <c r="V923">
        <v>8780446.0779480636</v>
      </c>
      <c r="W923" t="s">
        <v>30</v>
      </c>
      <c r="X923" t="s">
        <v>299</v>
      </c>
      <c r="Y923" t="s">
        <v>1147</v>
      </c>
      <c r="Z923" t="b">
        <v>0</v>
      </c>
      <c r="AA923" t="s">
        <v>44</v>
      </c>
      <c r="AB923" t="s">
        <v>45</v>
      </c>
      <c r="AC923" t="s">
        <v>301</v>
      </c>
    </row>
    <row r="924" spans="2:29" x14ac:dyDescent="0.35">
      <c r="B924" t="s">
        <v>1146</v>
      </c>
      <c r="C924">
        <v>141.37</v>
      </c>
      <c r="D924" t="s">
        <v>39</v>
      </c>
      <c r="E924" s="10">
        <v>220.112848879328</v>
      </c>
      <c r="F924" t="s">
        <v>30</v>
      </c>
      <c r="G924" s="14">
        <v>46143</v>
      </c>
      <c r="H924">
        <v>16063</v>
      </c>
      <c r="I924">
        <v>2270826.31</v>
      </c>
      <c r="J924">
        <v>1430.6167428435499</v>
      </c>
      <c r="K924" t="s">
        <v>297</v>
      </c>
      <c r="L924" s="9" t="s">
        <v>298</v>
      </c>
      <c r="M924" t="s">
        <v>50</v>
      </c>
      <c r="N924" s="12">
        <v>162.86202159423999</v>
      </c>
      <c r="O924" s="13">
        <v>0.73990238381551954</v>
      </c>
      <c r="P924" s="9" t="s">
        <v>1146</v>
      </c>
      <c r="Q924">
        <v>245.97</v>
      </c>
      <c r="R924">
        <v>245.97</v>
      </c>
      <c r="S924" t="s">
        <v>39</v>
      </c>
      <c r="T924">
        <v>382.97487047356799</v>
      </c>
      <c r="U924">
        <v>2376808.11</v>
      </c>
      <c r="V924">
        <v>3700686.1733860876</v>
      </c>
      <c r="W924" t="s">
        <v>30</v>
      </c>
      <c r="X924" t="s">
        <v>299</v>
      </c>
      <c r="Y924" t="s">
        <v>1147</v>
      </c>
      <c r="Z924" t="b">
        <v>0</v>
      </c>
      <c r="AA924" t="s">
        <v>44</v>
      </c>
      <c r="AB924" t="s">
        <v>45</v>
      </c>
      <c r="AC924" t="s">
        <v>301</v>
      </c>
    </row>
    <row r="925" spans="2:29" x14ac:dyDescent="0.35">
      <c r="B925" t="s">
        <v>1146</v>
      </c>
      <c r="C925">
        <v>379.81</v>
      </c>
      <c r="D925" t="s">
        <v>39</v>
      </c>
      <c r="E925" s="10">
        <v>591.36352219606397</v>
      </c>
      <c r="F925" t="s">
        <v>30</v>
      </c>
      <c r="G925" s="14">
        <v>46143</v>
      </c>
      <c r="H925">
        <v>2463</v>
      </c>
      <c r="I925">
        <v>935472.03</v>
      </c>
      <c r="J925">
        <v>715.316156413248</v>
      </c>
      <c r="K925" t="s">
        <v>297</v>
      </c>
      <c r="L925" s="9" t="s">
        <v>298</v>
      </c>
      <c r="M925" t="s">
        <v>50</v>
      </c>
      <c r="N925" s="12">
        <v>600.61209206479998</v>
      </c>
      <c r="O925" s="13">
        <v>1.0156393986466918</v>
      </c>
      <c r="P925" s="9" t="s">
        <v>1146</v>
      </c>
      <c r="Q925">
        <v>765.56</v>
      </c>
      <c r="R925">
        <v>765.56</v>
      </c>
      <c r="S925" t="s">
        <v>39</v>
      </c>
      <c r="T925">
        <v>1191.9756142608639</v>
      </c>
      <c r="U925">
        <v>2720800.2399999998</v>
      </c>
      <c r="V925">
        <v>4236281.3330831109</v>
      </c>
      <c r="W925" t="s">
        <v>30</v>
      </c>
      <c r="X925" t="s">
        <v>299</v>
      </c>
      <c r="Y925" t="s">
        <v>1147</v>
      </c>
      <c r="Z925" t="b">
        <v>0</v>
      </c>
      <c r="AA925" t="s">
        <v>44</v>
      </c>
      <c r="AB925" t="s">
        <v>45</v>
      </c>
      <c r="AC925" t="s">
        <v>301</v>
      </c>
    </row>
    <row r="926" spans="2:29" x14ac:dyDescent="0.35">
      <c r="B926" t="s">
        <v>1131</v>
      </c>
      <c r="C926">
        <v>565.54</v>
      </c>
      <c r="D926" t="s">
        <v>39</v>
      </c>
      <c r="E926" s="10">
        <v>880.54481541497591</v>
      </c>
      <c r="F926" t="s">
        <v>30</v>
      </c>
      <c r="G926" s="14">
        <v>46143</v>
      </c>
      <c r="H926">
        <v>16920</v>
      </c>
      <c r="I926">
        <v>9568936.7999999989</v>
      </c>
      <c r="J926">
        <v>82.287359859039995</v>
      </c>
      <c r="K926" t="s">
        <v>297</v>
      </c>
      <c r="L926" s="9" t="s">
        <v>298</v>
      </c>
      <c r="M926" t="s">
        <v>50</v>
      </c>
      <c r="N926" s="12">
        <v>375.36114881395196</v>
      </c>
      <c r="O926" s="13">
        <v>0.42628284471478584</v>
      </c>
      <c r="P926" s="9" t="s">
        <v>1131</v>
      </c>
      <c r="Q926">
        <v>324.45999999999998</v>
      </c>
      <c r="R926">
        <v>324.45999999999998</v>
      </c>
      <c r="S926" t="s">
        <v>39</v>
      </c>
      <c r="T926">
        <v>505.18366660102396</v>
      </c>
      <c r="U926">
        <v>5246518.1999999993</v>
      </c>
      <c r="V926">
        <v>8168819.8889385574</v>
      </c>
      <c r="W926" t="s">
        <v>30</v>
      </c>
      <c r="X926" t="s">
        <v>299</v>
      </c>
      <c r="Y926" t="s">
        <v>1132</v>
      </c>
      <c r="Z926" t="b">
        <v>0</v>
      </c>
      <c r="AA926" t="s">
        <v>44</v>
      </c>
      <c r="AB926" t="s">
        <v>45</v>
      </c>
      <c r="AC926" t="s">
        <v>301</v>
      </c>
    </row>
    <row r="927" spans="2:29" x14ac:dyDescent="0.35">
      <c r="B927" t="s">
        <v>1131</v>
      </c>
      <c r="C927">
        <v>118.59</v>
      </c>
      <c r="D927" t="s">
        <v>39</v>
      </c>
      <c r="E927" s="10">
        <v>184.64442773289602</v>
      </c>
      <c r="F927" t="s">
        <v>30</v>
      </c>
      <c r="G927" s="14">
        <v>46143</v>
      </c>
      <c r="H927">
        <v>8607</v>
      </c>
      <c r="I927">
        <v>1020704.13</v>
      </c>
      <c r="J927">
        <v>82.287359859039995</v>
      </c>
      <c r="K927" t="s">
        <v>297</v>
      </c>
      <c r="L927" s="9" t="s">
        <v>298</v>
      </c>
      <c r="M927" t="s">
        <v>50</v>
      </c>
      <c r="N927" s="12">
        <v>711.04998108659197</v>
      </c>
      <c r="O927" s="13">
        <v>3.8509149169407197</v>
      </c>
      <c r="P927" s="9" t="s">
        <v>1131</v>
      </c>
      <c r="Q927">
        <v>575.27</v>
      </c>
      <c r="R927">
        <v>575.27</v>
      </c>
      <c r="S927" t="s">
        <v>39</v>
      </c>
      <c r="T927">
        <v>895.69440881948799</v>
      </c>
      <c r="U927">
        <v>9823885.7899999991</v>
      </c>
      <c r="V927">
        <v>15295773.419410396</v>
      </c>
      <c r="W927" t="s">
        <v>30</v>
      </c>
      <c r="X927" t="s">
        <v>299</v>
      </c>
      <c r="Y927" t="s">
        <v>1132</v>
      </c>
      <c r="Z927" t="b">
        <v>0</v>
      </c>
      <c r="AA927" t="s">
        <v>44</v>
      </c>
      <c r="AB927" t="s">
        <v>45</v>
      </c>
      <c r="AC927" t="s">
        <v>301</v>
      </c>
    </row>
    <row r="928" spans="2:29" x14ac:dyDescent="0.35">
      <c r="B928" t="s">
        <v>1129</v>
      </c>
      <c r="C928">
        <v>477.73</v>
      </c>
      <c r="D928" t="s">
        <v>39</v>
      </c>
      <c r="E928" s="10">
        <v>743.82479518371201</v>
      </c>
      <c r="F928" t="s">
        <v>30</v>
      </c>
      <c r="G928" s="14">
        <v>46143</v>
      </c>
      <c r="H928">
        <v>901</v>
      </c>
      <c r="I928">
        <v>430434.73000000004</v>
      </c>
      <c r="J928">
        <v>743.37342137816495</v>
      </c>
      <c r="K928" t="s">
        <v>297</v>
      </c>
      <c r="L928" s="9" t="s">
        <v>298</v>
      </c>
      <c r="M928" t="s">
        <v>50</v>
      </c>
      <c r="N928" s="12">
        <v>673.33948239622418</v>
      </c>
      <c r="O928" s="13">
        <v>0.90523936114541714</v>
      </c>
      <c r="P928" s="9" t="s">
        <v>1129</v>
      </c>
      <c r="Q928">
        <v>910.19</v>
      </c>
      <c r="R928">
        <v>910.19</v>
      </c>
      <c r="S928" t="s">
        <v>39</v>
      </c>
      <c r="T928">
        <v>1417.1642775799362</v>
      </c>
      <c r="U928">
        <v>12204737.710000001</v>
      </c>
      <c r="V928">
        <v>19002755.798069365</v>
      </c>
      <c r="W928" t="s">
        <v>30</v>
      </c>
      <c r="X928" t="s">
        <v>299</v>
      </c>
      <c r="Y928" t="s">
        <v>1130</v>
      </c>
      <c r="Z928" t="b">
        <v>0</v>
      </c>
      <c r="AA928" t="s">
        <v>44</v>
      </c>
      <c r="AB928" t="s">
        <v>45</v>
      </c>
      <c r="AC928" t="s">
        <v>301</v>
      </c>
    </row>
    <row r="929" spans="2:29" x14ac:dyDescent="0.35">
      <c r="B929" t="s">
        <v>1129</v>
      </c>
      <c r="C929">
        <v>772.17</v>
      </c>
      <c r="D929" t="s">
        <v>39</v>
      </c>
      <c r="E929" s="10">
        <v>1202.2673729868479</v>
      </c>
      <c r="F929" t="s">
        <v>30</v>
      </c>
      <c r="G929" s="14">
        <v>46143</v>
      </c>
      <c r="H929">
        <v>9188</v>
      </c>
      <c r="I929">
        <v>7094697.96</v>
      </c>
      <c r="J929">
        <v>2477.9160755887701</v>
      </c>
      <c r="K929" t="s">
        <v>297</v>
      </c>
      <c r="L929" s="9" t="s">
        <v>298</v>
      </c>
      <c r="M929" t="s">
        <v>50</v>
      </c>
      <c r="N929" s="12">
        <v>314.63821533235205</v>
      </c>
      <c r="O929" s="13">
        <v>0.26170402890555194</v>
      </c>
      <c r="P929" s="9" t="s">
        <v>1129</v>
      </c>
      <c r="Q929">
        <v>974.25</v>
      </c>
      <c r="R929">
        <v>974.25</v>
      </c>
      <c r="S929" t="s">
        <v>39</v>
      </c>
      <c r="T929">
        <v>1516.9055883192</v>
      </c>
      <c r="U929">
        <v>6751552.5</v>
      </c>
      <c r="V929">
        <v>10512155.727052055</v>
      </c>
      <c r="W929" t="s">
        <v>30</v>
      </c>
      <c r="X929" t="s">
        <v>299</v>
      </c>
      <c r="Y929" t="s">
        <v>1130</v>
      </c>
      <c r="Z929" t="b">
        <v>0</v>
      </c>
      <c r="AA929" t="s">
        <v>44</v>
      </c>
      <c r="AB929" t="s">
        <v>45</v>
      </c>
      <c r="AC929" t="s">
        <v>301</v>
      </c>
    </row>
    <row r="930" spans="2:29" x14ac:dyDescent="0.35">
      <c r="B930" t="s">
        <v>1129</v>
      </c>
      <c r="C930">
        <v>402.65</v>
      </c>
      <c r="D930" t="s">
        <v>39</v>
      </c>
      <c r="E930" s="10">
        <v>626.92536324015998</v>
      </c>
      <c r="F930" t="s">
        <v>30</v>
      </c>
      <c r="G930" s="14">
        <v>46143</v>
      </c>
      <c r="H930">
        <v>11686</v>
      </c>
      <c r="I930">
        <v>4705367.8999999994</v>
      </c>
      <c r="J930">
        <v>2064.9378479821098</v>
      </c>
      <c r="K930" t="s">
        <v>297</v>
      </c>
      <c r="L930" s="9" t="s">
        <v>298</v>
      </c>
      <c r="M930" t="s">
        <v>50</v>
      </c>
      <c r="N930" s="12">
        <v>611.526650108544</v>
      </c>
      <c r="O930" s="13">
        <v>0.97543772507140203</v>
      </c>
      <c r="P930" s="9" t="s">
        <v>1129</v>
      </c>
      <c r="Q930">
        <v>9.89</v>
      </c>
      <c r="R930">
        <v>9.89</v>
      </c>
      <c r="S930" t="s">
        <v>39</v>
      </c>
      <c r="T930">
        <v>15.398713131616001</v>
      </c>
      <c r="U930">
        <v>177268.36000000002</v>
      </c>
      <c r="V930">
        <v>276006.53417108522</v>
      </c>
      <c r="W930" t="s">
        <v>30</v>
      </c>
      <c r="X930" t="s">
        <v>299</v>
      </c>
      <c r="Y930" t="s">
        <v>1130</v>
      </c>
      <c r="Z930" t="b">
        <v>0</v>
      </c>
      <c r="AA930" t="s">
        <v>44</v>
      </c>
      <c r="AB930" t="s">
        <v>45</v>
      </c>
      <c r="AC930" t="s">
        <v>301</v>
      </c>
    </row>
    <row r="931" spans="2:29" x14ac:dyDescent="0.35">
      <c r="B931" t="s">
        <v>1129</v>
      </c>
      <c r="C931">
        <v>394.27</v>
      </c>
      <c r="D931" t="s">
        <v>39</v>
      </c>
      <c r="E931" s="10">
        <v>613.877717533088</v>
      </c>
      <c r="F931" t="s">
        <v>30</v>
      </c>
      <c r="G931" s="14">
        <v>46143</v>
      </c>
      <c r="H931">
        <v>15507</v>
      </c>
      <c r="I931">
        <v>6113944.8899999997</v>
      </c>
      <c r="J931">
        <v>1651.95962037546</v>
      </c>
      <c r="K931" t="s">
        <v>297</v>
      </c>
      <c r="L931" s="9" t="s">
        <v>298</v>
      </c>
      <c r="M931" t="s">
        <v>50</v>
      </c>
      <c r="N931" s="12">
        <v>906.93593650505602</v>
      </c>
      <c r="O931" s="13">
        <v>1.4773885915743019</v>
      </c>
      <c r="P931" s="9" t="s">
        <v>1129</v>
      </c>
      <c r="Q931">
        <v>976.76</v>
      </c>
      <c r="R931">
        <v>976.76</v>
      </c>
      <c r="S931" t="s">
        <v>39</v>
      </c>
      <c r="T931">
        <v>1520.813654038144</v>
      </c>
      <c r="U931">
        <v>15250153.879999999</v>
      </c>
      <c r="V931">
        <v>23744463.580497544</v>
      </c>
      <c r="W931" t="s">
        <v>30</v>
      </c>
      <c r="X931" t="s">
        <v>299</v>
      </c>
      <c r="Y931" t="s">
        <v>1130</v>
      </c>
      <c r="Z931" t="b">
        <v>0</v>
      </c>
      <c r="AA931" t="s">
        <v>44</v>
      </c>
      <c r="AB931" t="s">
        <v>45</v>
      </c>
      <c r="AC931" t="s">
        <v>301</v>
      </c>
    </row>
    <row r="932" spans="2:29" x14ac:dyDescent="0.35">
      <c r="B932" t="s">
        <v>1129</v>
      </c>
      <c r="C932">
        <v>595.53</v>
      </c>
      <c r="D932" t="s">
        <v>39</v>
      </c>
      <c r="E932" s="10">
        <v>927.23919426403199</v>
      </c>
      <c r="F932" t="s">
        <v>30</v>
      </c>
      <c r="G932" s="14">
        <v>46143</v>
      </c>
      <c r="H932">
        <v>14228</v>
      </c>
      <c r="I932">
        <v>8473200.8399999999</v>
      </c>
      <c r="J932">
        <v>82.598759517920001</v>
      </c>
      <c r="K932" t="s">
        <v>297</v>
      </c>
      <c r="L932" s="9" t="s">
        <v>298</v>
      </c>
      <c r="M932" t="s">
        <v>50</v>
      </c>
      <c r="N932" s="12">
        <v>216.36048298982394</v>
      </c>
      <c r="O932" s="13">
        <v>0.23333837086292875</v>
      </c>
      <c r="P932" s="9" t="s">
        <v>1129</v>
      </c>
      <c r="Q932">
        <v>456.57</v>
      </c>
      <c r="R932">
        <v>456.57</v>
      </c>
      <c r="S932" t="s">
        <v>39</v>
      </c>
      <c r="T932">
        <v>710.87871127420806</v>
      </c>
      <c r="U932">
        <v>780734.7</v>
      </c>
      <c r="V932">
        <v>1215602.5962788959</v>
      </c>
      <c r="W932" t="s">
        <v>30</v>
      </c>
      <c r="X932" t="s">
        <v>299</v>
      </c>
      <c r="Y932" t="s">
        <v>1130</v>
      </c>
      <c r="Z932" t="b">
        <v>0</v>
      </c>
      <c r="AA932" t="s">
        <v>44</v>
      </c>
      <c r="AB932" t="s">
        <v>45</v>
      </c>
      <c r="AC932" t="s">
        <v>301</v>
      </c>
    </row>
    <row r="933" spans="2:29" x14ac:dyDescent="0.35">
      <c r="B933" t="s">
        <v>1131</v>
      </c>
      <c r="C933">
        <v>610.04</v>
      </c>
      <c r="D933" t="s">
        <v>39</v>
      </c>
      <c r="E933" s="10">
        <v>949.83123951577602</v>
      </c>
      <c r="F933" t="s">
        <v>30</v>
      </c>
      <c r="G933" s="14">
        <v>46143</v>
      </c>
      <c r="H933">
        <v>13464</v>
      </c>
      <c r="I933">
        <v>8213578.5599999996</v>
      </c>
      <c r="J933">
        <v>1563.5367530374999</v>
      </c>
      <c r="K933" t="s">
        <v>297</v>
      </c>
      <c r="L933" s="9" t="s">
        <v>298</v>
      </c>
      <c r="M933" t="s">
        <v>50</v>
      </c>
      <c r="N933" s="12">
        <v>894.90033968934404</v>
      </c>
      <c r="O933" s="13">
        <v>0.94216772670644555</v>
      </c>
      <c r="P933" s="9" t="s">
        <v>1131</v>
      </c>
      <c r="Q933">
        <v>35.28</v>
      </c>
      <c r="R933">
        <v>35.28</v>
      </c>
      <c r="S933" t="s">
        <v>39</v>
      </c>
      <c r="T933">
        <v>54.930899826432004</v>
      </c>
      <c r="U933">
        <v>698402.88</v>
      </c>
      <c r="V933">
        <v>1087412.092964048</v>
      </c>
      <c r="W933" t="s">
        <v>30</v>
      </c>
      <c r="X933" t="s">
        <v>299</v>
      </c>
      <c r="Y933" t="s">
        <v>1132</v>
      </c>
      <c r="Z933" t="b">
        <v>0</v>
      </c>
      <c r="AA933" t="s">
        <v>44</v>
      </c>
      <c r="AB933" t="s">
        <v>45</v>
      </c>
      <c r="AC933" t="s">
        <v>301</v>
      </c>
    </row>
    <row r="934" spans="2:29" x14ac:dyDescent="0.35">
      <c r="B934" t="s">
        <v>1131</v>
      </c>
      <c r="C934">
        <v>86.74</v>
      </c>
      <c r="D934" t="s">
        <v>39</v>
      </c>
      <c r="E934" s="10">
        <v>135.05403205625601</v>
      </c>
      <c r="F934" t="s">
        <v>30</v>
      </c>
      <c r="G934" s="14">
        <v>46143</v>
      </c>
      <c r="H934">
        <v>1585</v>
      </c>
      <c r="I934">
        <v>137482.9</v>
      </c>
      <c r="J934">
        <v>1563.5367530374999</v>
      </c>
      <c r="K934" t="s">
        <v>297</v>
      </c>
      <c r="L934" s="9" t="s">
        <v>298</v>
      </c>
      <c r="M934" t="s">
        <v>50</v>
      </c>
      <c r="N934" s="12">
        <v>466.36769912163197</v>
      </c>
      <c r="O934" s="13">
        <v>3.4531934516947196</v>
      </c>
      <c r="P934" s="9" t="s">
        <v>1131</v>
      </c>
      <c r="Q934">
        <v>386.27</v>
      </c>
      <c r="R934">
        <v>386.27</v>
      </c>
      <c r="S934" t="s">
        <v>39</v>
      </c>
      <c r="T934">
        <v>601.42173117788798</v>
      </c>
      <c r="U934">
        <v>5731087.9899999993</v>
      </c>
      <c r="V934">
        <v>8923294.2254863232</v>
      </c>
      <c r="W934" t="s">
        <v>30</v>
      </c>
      <c r="X934" t="s">
        <v>299</v>
      </c>
      <c r="Y934" t="s">
        <v>1132</v>
      </c>
      <c r="Z934" t="b">
        <v>0</v>
      </c>
      <c r="AA934" t="s">
        <v>44</v>
      </c>
      <c r="AB934" t="s">
        <v>45</v>
      </c>
      <c r="AC934" t="s">
        <v>301</v>
      </c>
    </row>
    <row r="935" spans="2:29" x14ac:dyDescent="0.35">
      <c r="B935" t="s">
        <v>1131</v>
      </c>
      <c r="C935">
        <v>76.33</v>
      </c>
      <c r="D935" t="s">
        <v>39</v>
      </c>
      <c r="E935" s="10">
        <v>118.845679811552</v>
      </c>
      <c r="F935" t="s">
        <v>30</v>
      </c>
      <c r="G935" s="14">
        <v>46143</v>
      </c>
      <c r="H935">
        <v>2544</v>
      </c>
      <c r="I935">
        <v>194183.52</v>
      </c>
      <c r="J935">
        <v>1728.1293782359701</v>
      </c>
      <c r="K935" t="s">
        <v>297</v>
      </c>
      <c r="L935" s="9" t="s">
        <v>298</v>
      </c>
      <c r="M935" t="s">
        <v>50</v>
      </c>
      <c r="N935" s="12">
        <v>1144.8608458723202</v>
      </c>
      <c r="O935" s="13">
        <v>9.6331717542250761</v>
      </c>
      <c r="P935" s="9" t="s">
        <v>1131</v>
      </c>
      <c r="Q935">
        <v>811.63</v>
      </c>
      <c r="R935">
        <v>811.63</v>
      </c>
      <c r="S935" t="s">
        <v>39</v>
      </c>
      <c r="T935">
        <v>1263.7065256838721</v>
      </c>
      <c r="U935">
        <v>13728721.449999999</v>
      </c>
      <c r="V935">
        <v>21375595.881942697</v>
      </c>
      <c r="W935" t="s">
        <v>30</v>
      </c>
      <c r="X935" t="s">
        <v>299</v>
      </c>
      <c r="Y935" t="s">
        <v>1132</v>
      </c>
      <c r="Z935" t="b">
        <v>0</v>
      </c>
      <c r="AA935" t="s">
        <v>44</v>
      </c>
      <c r="AB935" t="s">
        <v>45</v>
      </c>
      <c r="AC935" t="s">
        <v>301</v>
      </c>
    </row>
    <row r="936" spans="2:29" x14ac:dyDescent="0.35">
      <c r="B936" t="s">
        <v>1131</v>
      </c>
      <c r="C936">
        <v>479.16</v>
      </c>
      <c r="D936" t="s">
        <v>39</v>
      </c>
      <c r="E936" s="10">
        <v>746.051302744704</v>
      </c>
      <c r="F936" t="s">
        <v>30</v>
      </c>
      <c r="G936" s="14">
        <v>46143</v>
      </c>
      <c r="H936">
        <v>4370</v>
      </c>
      <c r="I936">
        <v>2093929.2000000002</v>
      </c>
      <c r="J936">
        <v>740.63248158070405</v>
      </c>
      <c r="K936" t="s">
        <v>297</v>
      </c>
      <c r="L936" s="9" t="s">
        <v>298</v>
      </c>
      <c r="M936" t="s">
        <v>50</v>
      </c>
      <c r="N936" s="12">
        <v>647.99155016339216</v>
      </c>
      <c r="O936" s="13">
        <v>0.86856164955338533</v>
      </c>
      <c r="P936" s="9" t="s">
        <v>1131</v>
      </c>
      <c r="Q936">
        <v>895.34</v>
      </c>
      <c r="R936">
        <v>895.34</v>
      </c>
      <c r="S936" t="s">
        <v>39</v>
      </c>
      <c r="T936">
        <v>1394.0428529080962</v>
      </c>
      <c r="U936">
        <v>7117953</v>
      </c>
      <c r="V936">
        <v>11082640.680619365</v>
      </c>
      <c r="W936" t="s">
        <v>30</v>
      </c>
      <c r="X936" t="s">
        <v>299</v>
      </c>
      <c r="Y936" t="s">
        <v>1132</v>
      </c>
      <c r="Z936" t="b">
        <v>0</v>
      </c>
      <c r="AA936" t="s">
        <v>44</v>
      </c>
      <c r="AB936" t="s">
        <v>45</v>
      </c>
      <c r="AC936" t="s">
        <v>301</v>
      </c>
    </row>
    <row r="937" spans="2:29" x14ac:dyDescent="0.35">
      <c r="B937" t="s">
        <v>1148</v>
      </c>
      <c r="C937">
        <v>989.5</v>
      </c>
      <c r="D937" t="s">
        <v>39</v>
      </c>
      <c r="E937" s="10">
        <v>1540.6498123087999</v>
      </c>
      <c r="F937" t="s">
        <v>30</v>
      </c>
      <c r="G937" s="14">
        <v>46143</v>
      </c>
      <c r="H937">
        <v>1104</v>
      </c>
      <c r="I937">
        <v>1092408</v>
      </c>
      <c r="J937">
        <v>7749.5308358450402</v>
      </c>
      <c r="K937" t="s">
        <v>985</v>
      </c>
      <c r="L937" s="9" t="s">
        <v>986</v>
      </c>
      <c r="M937" t="s">
        <v>50</v>
      </c>
      <c r="N937" s="12">
        <v>375.20544898451203</v>
      </c>
      <c r="O937" s="13">
        <v>0.24353713996968168</v>
      </c>
      <c r="P937" s="9" t="s">
        <v>1148</v>
      </c>
      <c r="Q937">
        <v>748.52</v>
      </c>
      <c r="R937">
        <v>7.4851999999999999</v>
      </c>
      <c r="S937" t="s">
        <v>39</v>
      </c>
      <c r="T937">
        <v>1165.4443633242879</v>
      </c>
      <c r="U937">
        <v>720076.24</v>
      </c>
      <c r="V937">
        <v>1121157.477517965</v>
      </c>
      <c r="W937" t="s">
        <v>249</v>
      </c>
      <c r="X937" t="s">
        <v>987</v>
      </c>
      <c r="Y937" t="s">
        <v>1149</v>
      </c>
      <c r="Z937" t="b">
        <v>0</v>
      </c>
      <c r="AA937" t="s">
        <v>44</v>
      </c>
      <c r="AB937" t="s">
        <v>45</v>
      </c>
      <c r="AC937" t="s">
        <v>251</v>
      </c>
    </row>
    <row r="938" spans="2:29" x14ac:dyDescent="0.35">
      <c r="B938" t="s">
        <v>1148</v>
      </c>
      <c r="C938">
        <v>56.01</v>
      </c>
      <c r="D938" t="s">
        <v>39</v>
      </c>
      <c r="E938" s="10">
        <v>87.207474469343992</v>
      </c>
      <c r="F938" t="s">
        <v>30</v>
      </c>
      <c r="G938" s="14">
        <v>46143</v>
      </c>
      <c r="H938">
        <v>3633</v>
      </c>
      <c r="I938">
        <v>203484.33</v>
      </c>
      <c r="J938">
        <v>78.278089250959994</v>
      </c>
      <c r="K938" t="s">
        <v>985</v>
      </c>
      <c r="L938" s="9" t="s">
        <v>986</v>
      </c>
      <c r="M938" t="s">
        <v>50</v>
      </c>
      <c r="N938" s="12">
        <v>470.49374460179206</v>
      </c>
      <c r="O938" s="13">
        <v>5.3951080164256391</v>
      </c>
      <c r="P938" s="9" t="s">
        <v>1148</v>
      </c>
      <c r="Q938">
        <v>358.19</v>
      </c>
      <c r="R938">
        <v>3.5819000000000001</v>
      </c>
      <c r="S938" t="s">
        <v>39</v>
      </c>
      <c r="T938">
        <v>557.70121907113605</v>
      </c>
      <c r="U938">
        <v>223510.56</v>
      </c>
      <c r="V938">
        <v>348005.56070038892</v>
      </c>
      <c r="W938" t="s">
        <v>249</v>
      </c>
      <c r="X938" t="s">
        <v>987</v>
      </c>
      <c r="Y938" t="s">
        <v>1149</v>
      </c>
      <c r="Z938" t="b">
        <v>0</v>
      </c>
      <c r="AA938" t="s">
        <v>44</v>
      </c>
      <c r="AB938" t="s">
        <v>45</v>
      </c>
      <c r="AC938" t="s">
        <v>251</v>
      </c>
    </row>
    <row r="939" spans="2:29" x14ac:dyDescent="0.35">
      <c r="B939" t="s">
        <v>1150</v>
      </c>
      <c r="C939">
        <v>633.01</v>
      </c>
      <c r="D939" t="s">
        <v>39</v>
      </c>
      <c r="E939" s="10">
        <v>985.59549033814403</v>
      </c>
      <c r="F939" t="s">
        <v>30</v>
      </c>
      <c r="G939" s="14">
        <v>46143</v>
      </c>
      <c r="H939">
        <v>5969</v>
      </c>
      <c r="I939">
        <v>3778436.69</v>
      </c>
      <c r="J939">
        <v>12915.300852048</v>
      </c>
      <c r="K939" t="s">
        <v>927</v>
      </c>
      <c r="L939" s="9" t="s">
        <v>928</v>
      </c>
      <c r="M939" t="s">
        <v>50</v>
      </c>
      <c r="N939" s="12">
        <v>420.07813982912</v>
      </c>
      <c r="O939" s="13">
        <v>0.42621759529865244</v>
      </c>
      <c r="P939" s="9" t="s">
        <v>1150</v>
      </c>
      <c r="Q939">
        <v>902.81</v>
      </c>
      <c r="R939">
        <v>902.81</v>
      </c>
      <c r="S939" t="s">
        <v>39</v>
      </c>
      <c r="T939">
        <v>1405.673630167264</v>
      </c>
      <c r="U939">
        <v>10416621.779999999</v>
      </c>
      <c r="V939">
        <v>16218662.344869893</v>
      </c>
      <c r="W939" t="s">
        <v>30</v>
      </c>
      <c r="X939" t="s">
        <v>929</v>
      </c>
      <c r="Y939" t="s">
        <v>1151</v>
      </c>
      <c r="Z939" t="b">
        <v>0</v>
      </c>
      <c r="AA939" t="s">
        <v>44</v>
      </c>
      <c r="AB939" t="s">
        <v>45</v>
      </c>
      <c r="AC939" t="s">
        <v>245</v>
      </c>
    </row>
    <row r="940" spans="2:29" x14ac:dyDescent="0.35">
      <c r="B940" t="s">
        <v>1152</v>
      </c>
      <c r="C940">
        <v>823.09</v>
      </c>
      <c r="D940" t="s">
        <v>39</v>
      </c>
      <c r="E940" s="10">
        <v>1281.5497261376961</v>
      </c>
      <c r="F940" t="s">
        <v>30</v>
      </c>
      <c r="G940" s="14">
        <v>46143</v>
      </c>
      <c r="H940">
        <v>16684</v>
      </c>
      <c r="I940">
        <v>13732433.560000001</v>
      </c>
      <c r="J940">
        <v>5630.1058325504</v>
      </c>
      <c r="K940" t="s">
        <v>927</v>
      </c>
      <c r="L940" s="9" t="s">
        <v>928</v>
      </c>
      <c r="M940" t="s">
        <v>50</v>
      </c>
      <c r="N940" s="12">
        <v>13.374615348895986</v>
      </c>
      <c r="O940" s="13">
        <v>1.0436282788030458E-2</v>
      </c>
      <c r="P940" s="9" t="s">
        <v>1152</v>
      </c>
      <c r="Q940">
        <v>814.5</v>
      </c>
      <c r="R940">
        <v>814.5</v>
      </c>
      <c r="S940" t="s">
        <v>39</v>
      </c>
      <c r="T940">
        <v>1268.1751107888001</v>
      </c>
      <c r="U940">
        <v>3071479.5</v>
      </c>
      <c r="V940">
        <v>4782288.3427845649</v>
      </c>
      <c r="W940" t="s">
        <v>30</v>
      </c>
      <c r="X940" t="s">
        <v>929</v>
      </c>
      <c r="Y940" t="s">
        <v>1153</v>
      </c>
      <c r="Z940" t="b">
        <v>0</v>
      </c>
      <c r="AA940" t="s">
        <v>44</v>
      </c>
      <c r="AB940" t="s">
        <v>45</v>
      </c>
      <c r="AC940" t="s">
        <v>245</v>
      </c>
    </row>
    <row r="941" spans="2:29" x14ac:dyDescent="0.35">
      <c r="B941" t="s">
        <v>1154</v>
      </c>
      <c r="C941">
        <v>701.91</v>
      </c>
      <c r="D941" t="s">
        <v>39</v>
      </c>
      <c r="E941" s="10">
        <v>1092.8726728223039</v>
      </c>
      <c r="F941" t="s">
        <v>30</v>
      </c>
      <c r="G941" s="14">
        <v>46143</v>
      </c>
      <c r="H941">
        <v>13638</v>
      </c>
      <c r="I941">
        <v>9572648.5800000001</v>
      </c>
      <c r="J941">
        <v>257.41852801315201</v>
      </c>
      <c r="K941" t="s">
        <v>985</v>
      </c>
      <c r="L941" s="9" t="s">
        <v>986</v>
      </c>
      <c r="M941" t="s">
        <v>50</v>
      </c>
      <c r="N941" s="12">
        <v>223.18013551929585</v>
      </c>
      <c r="O941" s="13">
        <v>0.20421421549771326</v>
      </c>
      <c r="P941" s="9" t="s">
        <v>1154</v>
      </c>
      <c r="Q941">
        <v>558.57000000000005</v>
      </c>
      <c r="R941">
        <v>5.5857000000000001</v>
      </c>
      <c r="S941" t="s">
        <v>39</v>
      </c>
      <c r="T941">
        <v>869.69253730300807</v>
      </c>
      <c r="U941">
        <v>8274655.9800000004</v>
      </c>
      <c r="V941">
        <v>12883625.247606762</v>
      </c>
      <c r="W941" t="s">
        <v>249</v>
      </c>
      <c r="X941" t="s">
        <v>987</v>
      </c>
      <c r="Y941" t="s">
        <v>1155</v>
      </c>
      <c r="Z941" t="b">
        <v>0</v>
      </c>
      <c r="AA941" t="s">
        <v>44</v>
      </c>
      <c r="AB941" t="s">
        <v>45</v>
      </c>
      <c r="AC941" t="s">
        <v>251</v>
      </c>
    </row>
    <row r="942" spans="2:29" x14ac:dyDescent="0.35">
      <c r="B942" t="s">
        <v>1154</v>
      </c>
      <c r="C942">
        <v>108.19</v>
      </c>
      <c r="D942" t="s">
        <v>39</v>
      </c>
      <c r="E942" s="10">
        <v>168.451645471136</v>
      </c>
      <c r="F942" t="s">
        <v>30</v>
      </c>
      <c r="G942" s="14">
        <v>46143</v>
      </c>
      <c r="H942">
        <v>13940</v>
      </c>
      <c r="I942">
        <v>1508168.5999999999</v>
      </c>
      <c r="J942">
        <v>2.6157571345920001</v>
      </c>
      <c r="K942" t="s">
        <v>985</v>
      </c>
      <c r="L942" s="9" t="s">
        <v>986</v>
      </c>
      <c r="M942" t="s">
        <v>50</v>
      </c>
      <c r="N942" s="12">
        <v>1207.1874875971519</v>
      </c>
      <c r="O942" s="13">
        <v>7.1663739717164239</v>
      </c>
      <c r="P942" s="9" t="s">
        <v>1154</v>
      </c>
      <c r="Q942">
        <v>883.52</v>
      </c>
      <c r="R942">
        <v>8.8352000000000004</v>
      </c>
      <c r="S942" t="s">
        <v>39</v>
      </c>
      <c r="T942">
        <v>1375.6391330682879</v>
      </c>
      <c r="U942">
        <v>10980386.560000001</v>
      </c>
      <c r="V942">
        <v>17096443.145772684</v>
      </c>
      <c r="W942" t="s">
        <v>249</v>
      </c>
      <c r="X942" t="s">
        <v>987</v>
      </c>
      <c r="Y942" t="s">
        <v>1155</v>
      </c>
      <c r="Z942" t="b">
        <v>0</v>
      </c>
      <c r="AA942" t="s">
        <v>44</v>
      </c>
      <c r="AB942" t="s">
        <v>45</v>
      </c>
      <c r="AC942" t="s">
        <v>251</v>
      </c>
    </row>
    <row r="943" spans="2:29" x14ac:dyDescent="0.35">
      <c r="B943" t="s">
        <v>1156</v>
      </c>
      <c r="C943">
        <v>62.46</v>
      </c>
      <c r="D943" t="s">
        <v>29</v>
      </c>
      <c r="E943" s="10">
        <v>580.30102575000001</v>
      </c>
      <c r="F943" t="s">
        <v>30</v>
      </c>
      <c r="G943" s="14">
        <v>46143</v>
      </c>
      <c r="H943">
        <v>16264</v>
      </c>
      <c r="I943">
        <v>1015849.4400000001</v>
      </c>
      <c r="J943">
        <v>262740.9053475</v>
      </c>
      <c r="K943" t="s">
        <v>1141</v>
      </c>
      <c r="L943" s="9" t="s">
        <v>1142</v>
      </c>
      <c r="M943" t="s">
        <v>50</v>
      </c>
      <c r="N943" s="12">
        <v>627.43141125019201</v>
      </c>
      <c r="O943" s="13">
        <v>1.0812171328480407</v>
      </c>
      <c r="P943" s="9" t="s">
        <v>1156</v>
      </c>
      <c r="Q943">
        <v>775.68</v>
      </c>
      <c r="R943">
        <v>775.68</v>
      </c>
      <c r="S943" t="s">
        <v>39</v>
      </c>
      <c r="T943">
        <v>1207.732437000192</v>
      </c>
      <c r="U943">
        <v>8672102.3999999985</v>
      </c>
      <c r="V943">
        <v>13502448.645662148</v>
      </c>
      <c r="W943" t="s">
        <v>30</v>
      </c>
      <c r="X943" t="s">
        <v>1143</v>
      </c>
      <c r="Y943" t="s">
        <v>1157</v>
      </c>
      <c r="Z943" t="b">
        <v>0</v>
      </c>
      <c r="AA943" t="s">
        <v>44</v>
      </c>
      <c r="AB943" t="s">
        <v>36</v>
      </c>
      <c r="AC943" t="s">
        <v>46</v>
      </c>
    </row>
    <row r="944" spans="2:29" x14ac:dyDescent="0.35">
      <c r="B944" t="s">
        <v>1055</v>
      </c>
      <c r="C944">
        <v>355.79</v>
      </c>
      <c r="D944" t="s">
        <v>39</v>
      </c>
      <c r="E944" s="10">
        <v>553.96442316457603</v>
      </c>
      <c r="F944" t="s">
        <v>30</v>
      </c>
      <c r="G944" s="14">
        <v>46143</v>
      </c>
      <c r="H944">
        <v>13663</v>
      </c>
      <c r="I944">
        <v>4861158.7700000005</v>
      </c>
      <c r="J944">
        <v>1326.37570703347</v>
      </c>
      <c r="K944" t="s">
        <v>275</v>
      </c>
      <c r="L944" s="9" t="s">
        <v>276</v>
      </c>
      <c r="M944" t="s">
        <v>50</v>
      </c>
      <c r="N944" s="12">
        <v>792.57441178137617</v>
      </c>
      <c r="O944" s="13">
        <v>1.4307316113437705</v>
      </c>
      <c r="P944" s="9" t="s">
        <v>1055</v>
      </c>
      <c r="Q944">
        <v>864.83</v>
      </c>
      <c r="R944">
        <v>864.83</v>
      </c>
      <c r="S944" t="s">
        <v>39</v>
      </c>
      <c r="T944">
        <v>1346.5388349459522</v>
      </c>
      <c r="U944">
        <v>8289395.5500000007</v>
      </c>
      <c r="V944">
        <v>12906574.732956951</v>
      </c>
      <c r="W944" t="s">
        <v>30</v>
      </c>
      <c r="X944" t="s">
        <v>277</v>
      </c>
      <c r="Y944" t="s">
        <v>1056</v>
      </c>
      <c r="Z944" t="b">
        <v>0</v>
      </c>
      <c r="AA944" t="s">
        <v>44</v>
      </c>
      <c r="AB944" t="s">
        <v>45</v>
      </c>
      <c r="AC944" t="s">
        <v>610</v>
      </c>
    </row>
    <row r="945" spans="2:29" x14ac:dyDescent="0.35">
      <c r="B945" t="s">
        <v>274</v>
      </c>
      <c r="C945">
        <v>896.76</v>
      </c>
      <c r="D945" t="s">
        <v>39</v>
      </c>
      <c r="E945" s="10">
        <v>1396.253790486144</v>
      </c>
      <c r="F945" t="s">
        <v>30</v>
      </c>
      <c r="G945" s="14">
        <v>46143</v>
      </c>
      <c r="H945">
        <v>18279</v>
      </c>
      <c r="I945">
        <v>16391876.039999999</v>
      </c>
      <c r="J945">
        <v>10094.0199425952</v>
      </c>
      <c r="K945" t="s">
        <v>275</v>
      </c>
      <c r="L945" s="9" t="s">
        <v>276</v>
      </c>
      <c r="M945" t="s">
        <v>50</v>
      </c>
      <c r="N945" s="12">
        <v>899.78931433375999</v>
      </c>
      <c r="O945" s="13">
        <v>0.64443106293768682</v>
      </c>
      <c r="P945" s="9" t="s">
        <v>274</v>
      </c>
      <c r="Q945">
        <v>318.86</v>
      </c>
      <c r="R945">
        <v>318.86</v>
      </c>
      <c r="S945" t="s">
        <v>39</v>
      </c>
      <c r="T945">
        <v>496.46447615238401</v>
      </c>
      <c r="U945">
        <v>3093260.8600000003</v>
      </c>
      <c r="V945">
        <v>4816201.8831542777</v>
      </c>
      <c r="W945" t="s">
        <v>30</v>
      </c>
      <c r="X945" t="s">
        <v>277</v>
      </c>
      <c r="Y945" t="s">
        <v>278</v>
      </c>
      <c r="Z945" t="b">
        <v>0</v>
      </c>
      <c r="AA945" t="s">
        <v>44</v>
      </c>
      <c r="AB945" t="s">
        <v>45</v>
      </c>
      <c r="AC945" t="s">
        <v>245</v>
      </c>
    </row>
    <row r="946" spans="2:29" x14ac:dyDescent="0.35">
      <c r="B946" t="s">
        <v>296</v>
      </c>
      <c r="C946">
        <v>361.34</v>
      </c>
      <c r="D946" t="s">
        <v>39</v>
      </c>
      <c r="E946" s="10">
        <v>562.60576369849593</v>
      </c>
      <c r="F946" t="s">
        <v>30</v>
      </c>
      <c r="G946" s="14">
        <v>46143</v>
      </c>
      <c r="H946">
        <v>18163</v>
      </c>
      <c r="I946">
        <v>6563018.4199999999</v>
      </c>
      <c r="J946">
        <v>249.245688266017</v>
      </c>
      <c r="K946" t="s">
        <v>297</v>
      </c>
      <c r="L946" s="9" t="s">
        <v>298</v>
      </c>
      <c r="M946" t="s">
        <v>50</v>
      </c>
      <c r="N946" s="12">
        <v>995.20216981459214</v>
      </c>
      <c r="O946" s="13">
        <v>1.768915702662313</v>
      </c>
      <c r="P946" s="9" t="s">
        <v>296</v>
      </c>
      <c r="Q946">
        <v>1000.52</v>
      </c>
      <c r="R946">
        <v>1000.52</v>
      </c>
      <c r="S946" t="s">
        <v>39</v>
      </c>
      <c r="T946">
        <v>1557.8079335130881</v>
      </c>
      <c r="U946">
        <v>5893062.7999999998</v>
      </c>
      <c r="V946">
        <v>9175488.7283920888</v>
      </c>
      <c r="W946" t="s">
        <v>30</v>
      </c>
      <c r="X946" t="s">
        <v>299</v>
      </c>
      <c r="Y946" t="s">
        <v>300</v>
      </c>
      <c r="Z946" t="b">
        <v>0</v>
      </c>
      <c r="AB946" t="s">
        <v>45</v>
      </c>
      <c r="AC946" t="s">
        <v>301</v>
      </c>
    </row>
    <row r="947" spans="2:29" x14ac:dyDescent="0.35">
      <c r="B947" t="s">
        <v>296</v>
      </c>
      <c r="C947">
        <v>305.33999999999997</v>
      </c>
      <c r="D947" t="s">
        <v>39</v>
      </c>
      <c r="E947" s="10">
        <v>475.41385921209599</v>
      </c>
      <c r="F947" t="s">
        <v>30</v>
      </c>
      <c r="G947" s="14">
        <v>46143</v>
      </c>
      <c r="H947">
        <v>16465</v>
      </c>
      <c r="I947">
        <v>5027423.0999999996</v>
      </c>
      <c r="J947">
        <v>593.44989991056002</v>
      </c>
      <c r="K947" t="s">
        <v>297</v>
      </c>
      <c r="L947" s="9" t="s">
        <v>298</v>
      </c>
      <c r="M947" t="s">
        <v>50</v>
      </c>
      <c r="N947" s="12">
        <v>88.857892661407959</v>
      </c>
      <c r="O947" s="13">
        <v>0.1869063994235933</v>
      </c>
      <c r="P947" s="9" t="s">
        <v>296</v>
      </c>
      <c r="Q947">
        <v>248.27</v>
      </c>
      <c r="R947">
        <v>248.27</v>
      </c>
      <c r="S947" t="s">
        <v>39</v>
      </c>
      <c r="T947">
        <v>386.55596655068803</v>
      </c>
      <c r="U947">
        <v>439686.17000000004</v>
      </c>
      <c r="V947">
        <v>684590.61676126847</v>
      </c>
      <c r="W947" t="s">
        <v>30</v>
      </c>
      <c r="X947" t="s">
        <v>299</v>
      </c>
      <c r="Y947" t="s">
        <v>300</v>
      </c>
      <c r="Z947" t="b">
        <v>0</v>
      </c>
      <c r="AB947" t="s">
        <v>45</v>
      </c>
      <c r="AC947" t="s">
        <v>301</v>
      </c>
    </row>
    <row r="948" spans="2:29" x14ac:dyDescent="0.35">
      <c r="B948" t="s">
        <v>1158</v>
      </c>
      <c r="C948">
        <v>488.44</v>
      </c>
      <c r="D948" t="s">
        <v>39</v>
      </c>
      <c r="E948" s="10">
        <v>760.50024691673605</v>
      </c>
      <c r="F948" t="s">
        <v>30</v>
      </c>
      <c r="G948" s="14">
        <v>46143</v>
      </c>
      <c r="H948">
        <v>5920</v>
      </c>
      <c r="I948">
        <v>2891564.8</v>
      </c>
      <c r="J948">
        <v>4675.8215779126404</v>
      </c>
      <c r="K948" t="s">
        <v>927</v>
      </c>
      <c r="L948" s="9" t="s">
        <v>928</v>
      </c>
      <c r="M948" t="s">
        <v>50</v>
      </c>
      <c r="N948" s="12">
        <v>600.14499257648004</v>
      </c>
      <c r="O948" s="13">
        <v>0.78914503316681683</v>
      </c>
      <c r="P948" s="9" t="s">
        <v>1158</v>
      </c>
      <c r="Q948">
        <v>102.99</v>
      </c>
      <c r="R948">
        <v>102.99</v>
      </c>
      <c r="S948" t="s">
        <v>39</v>
      </c>
      <c r="T948">
        <v>160.35525434025598</v>
      </c>
      <c r="U948">
        <v>243571.34999999998</v>
      </c>
      <c r="V948">
        <v>379240.17651470541</v>
      </c>
      <c r="W948" t="s">
        <v>30</v>
      </c>
      <c r="X948" t="s">
        <v>929</v>
      </c>
      <c r="Y948" t="s">
        <v>930</v>
      </c>
      <c r="Z948" t="b">
        <v>0</v>
      </c>
      <c r="AA948" t="s">
        <v>44</v>
      </c>
      <c r="AB948" t="s">
        <v>45</v>
      </c>
      <c r="AC948" t="s">
        <v>245</v>
      </c>
    </row>
    <row r="949" spans="2:29" x14ac:dyDescent="0.35">
      <c r="B949" t="s">
        <v>1090</v>
      </c>
      <c r="C949">
        <v>463.7</v>
      </c>
      <c r="D949" t="s">
        <v>71</v>
      </c>
      <c r="E949" s="10">
        <v>5160.6558185506501</v>
      </c>
      <c r="F949" t="s">
        <v>30</v>
      </c>
      <c r="G949" s="14">
        <v>46143</v>
      </c>
      <c r="H949">
        <v>16788</v>
      </c>
      <c r="I949">
        <v>7784595.5999999996</v>
      </c>
      <c r="J949">
        <v>19755.61816586</v>
      </c>
      <c r="K949" t="s">
        <v>1004</v>
      </c>
      <c r="L949" s="9" t="s">
        <v>1005</v>
      </c>
      <c r="M949" t="s">
        <v>50</v>
      </c>
      <c r="N949" s="12">
        <v>5000.3939841080582</v>
      </c>
      <c r="O949" s="13">
        <v>0.9689454518810362</v>
      </c>
      <c r="P949" s="9" t="s">
        <v>1090</v>
      </c>
      <c r="Q949">
        <v>102.93</v>
      </c>
      <c r="R949">
        <v>102.93</v>
      </c>
      <c r="S949" t="s">
        <v>39</v>
      </c>
      <c r="T949">
        <v>160.261834442592</v>
      </c>
      <c r="U949">
        <v>1896794.04</v>
      </c>
      <c r="V949">
        <v>2953305.0851080855</v>
      </c>
      <c r="W949" t="s">
        <v>30</v>
      </c>
      <c r="X949" t="s">
        <v>1006</v>
      </c>
      <c r="Y949" t="s">
        <v>1091</v>
      </c>
      <c r="Z949" t="b">
        <v>0</v>
      </c>
      <c r="AA949" t="s">
        <v>44</v>
      </c>
      <c r="AB949" t="s">
        <v>36</v>
      </c>
      <c r="AC949" t="s">
        <v>288</v>
      </c>
    </row>
    <row r="950" spans="2:29" x14ac:dyDescent="0.35">
      <c r="B950" t="s">
        <v>1159</v>
      </c>
      <c r="C950">
        <v>48.79</v>
      </c>
      <c r="D950" t="s">
        <v>29</v>
      </c>
      <c r="E950" s="10">
        <v>453.29630237499998</v>
      </c>
      <c r="F950" t="s">
        <v>30</v>
      </c>
      <c r="G950" s="14">
        <v>46143</v>
      </c>
      <c r="H950">
        <v>6937</v>
      </c>
      <c r="I950">
        <v>338456.23</v>
      </c>
      <c r="J950">
        <v>3798.9927862499999</v>
      </c>
      <c r="K950" t="s">
        <v>329</v>
      </c>
      <c r="L950" s="9" t="s">
        <v>330</v>
      </c>
      <c r="M950" t="s">
        <v>50</v>
      </c>
      <c r="N950" s="12">
        <v>844.46177600740009</v>
      </c>
      <c r="O950" s="13">
        <v>1.8629355050613214</v>
      </c>
      <c r="P950" s="9" t="s">
        <v>1159</v>
      </c>
      <c r="Q950">
        <v>833.5</v>
      </c>
      <c r="R950">
        <v>833.5</v>
      </c>
      <c r="S950" t="s">
        <v>39</v>
      </c>
      <c r="T950">
        <v>1297.7580783824001</v>
      </c>
      <c r="U950">
        <v>8855104</v>
      </c>
      <c r="V950">
        <v>13787381.824734619</v>
      </c>
      <c r="W950" t="s">
        <v>30</v>
      </c>
      <c r="X950" t="s">
        <v>331</v>
      </c>
      <c r="Y950" t="s">
        <v>1160</v>
      </c>
      <c r="Z950" t="b">
        <v>0</v>
      </c>
      <c r="AA950" t="s">
        <v>44</v>
      </c>
      <c r="AB950" t="s">
        <v>36</v>
      </c>
      <c r="AC950" t="s">
        <v>251</v>
      </c>
    </row>
    <row r="951" spans="2:29" x14ac:dyDescent="0.35">
      <c r="B951" t="s">
        <v>1159</v>
      </c>
      <c r="C951">
        <v>22.45</v>
      </c>
      <c r="D951" t="s">
        <v>29</v>
      </c>
      <c r="E951" s="10">
        <v>208.57761812499999</v>
      </c>
      <c r="F951" t="s">
        <v>30</v>
      </c>
      <c r="G951" s="14">
        <v>46143</v>
      </c>
      <c r="H951">
        <v>4604</v>
      </c>
      <c r="I951">
        <v>103359.8</v>
      </c>
      <c r="J951">
        <v>7597.9855724999998</v>
      </c>
      <c r="K951" t="s">
        <v>329</v>
      </c>
      <c r="L951" s="9" t="s">
        <v>330</v>
      </c>
      <c r="M951" t="s">
        <v>50</v>
      </c>
      <c r="N951" s="12">
        <v>961.74014986075997</v>
      </c>
      <c r="O951" s="13">
        <v>4.610946076124006</v>
      </c>
      <c r="P951" s="9" t="s">
        <v>1159</v>
      </c>
      <c r="Q951">
        <v>751.65</v>
      </c>
      <c r="R951">
        <v>751.65</v>
      </c>
      <c r="S951" t="s">
        <v>39</v>
      </c>
      <c r="T951">
        <v>1170.3177679857599</v>
      </c>
      <c r="U951">
        <v>4717355.3999999994</v>
      </c>
      <c r="V951">
        <v>7344914.311878629</v>
      </c>
      <c r="W951" t="s">
        <v>30</v>
      </c>
      <c r="X951" t="s">
        <v>331</v>
      </c>
      <c r="Y951" t="s">
        <v>1160</v>
      </c>
      <c r="Z951" t="b">
        <v>0</v>
      </c>
      <c r="AA951" t="s">
        <v>44</v>
      </c>
      <c r="AB951" t="s">
        <v>36</v>
      </c>
      <c r="AC951" t="s">
        <v>251</v>
      </c>
    </row>
    <row r="952" spans="2:29" x14ac:dyDescent="0.35">
      <c r="B952" t="s">
        <v>328</v>
      </c>
      <c r="C952">
        <v>315.32</v>
      </c>
      <c r="D952" t="s">
        <v>29</v>
      </c>
      <c r="E952" s="10">
        <v>2929.5632314999998</v>
      </c>
      <c r="F952" t="s">
        <v>30</v>
      </c>
      <c r="G952" s="14">
        <v>46143</v>
      </c>
      <c r="H952">
        <v>5748</v>
      </c>
      <c r="I952">
        <v>1812459.3599999999</v>
      </c>
      <c r="J952">
        <v>16377.291596875</v>
      </c>
      <c r="K952" t="s">
        <v>329</v>
      </c>
      <c r="L952" s="9" t="s">
        <v>330</v>
      </c>
      <c r="M952" t="s">
        <v>50</v>
      </c>
      <c r="N952" s="12">
        <v>2534.4593443130557</v>
      </c>
      <c r="O952" s="13">
        <v>0.86513215248655262</v>
      </c>
      <c r="P952" s="9" t="s">
        <v>328</v>
      </c>
      <c r="Q952">
        <v>253.76</v>
      </c>
      <c r="R952">
        <v>253.76</v>
      </c>
      <c r="S952" t="s">
        <v>39</v>
      </c>
      <c r="T952">
        <v>395.10388718694401</v>
      </c>
      <c r="U952">
        <v>4339549.76</v>
      </c>
      <c r="V952">
        <v>6756671.5747839296</v>
      </c>
      <c r="W952" t="s">
        <v>30</v>
      </c>
      <c r="X952" t="s">
        <v>331</v>
      </c>
      <c r="Y952" t="s">
        <v>332</v>
      </c>
      <c r="Z952" t="b">
        <v>0</v>
      </c>
      <c r="AA952" t="s">
        <v>44</v>
      </c>
      <c r="AB952" t="s">
        <v>36</v>
      </c>
      <c r="AC952" t="s">
        <v>187</v>
      </c>
    </row>
    <row r="953" spans="2:29" x14ac:dyDescent="0.35">
      <c r="B953" t="s">
        <v>1150</v>
      </c>
      <c r="C953">
        <v>514.67999999999995</v>
      </c>
      <c r="D953" t="s">
        <v>39</v>
      </c>
      <c r="E953" s="10">
        <v>801.3558821617919</v>
      </c>
      <c r="F953" t="s">
        <v>30</v>
      </c>
      <c r="G953" s="14">
        <v>46143</v>
      </c>
      <c r="H953">
        <v>19046</v>
      </c>
      <c r="I953">
        <v>9802595.2799999993</v>
      </c>
      <c r="J953">
        <v>10646.754337107201</v>
      </c>
      <c r="K953" t="s">
        <v>927</v>
      </c>
      <c r="L953" s="9" t="s">
        <v>928</v>
      </c>
      <c r="M953" t="s">
        <v>50</v>
      </c>
      <c r="N953" s="12">
        <v>660.74336619452811</v>
      </c>
      <c r="O953" s="13">
        <v>0.82453174788217942</v>
      </c>
      <c r="P953" s="9" t="s">
        <v>1150</v>
      </c>
      <c r="Q953">
        <v>939.05</v>
      </c>
      <c r="R953">
        <v>939.05</v>
      </c>
      <c r="S953" t="s">
        <v>39</v>
      </c>
      <c r="T953">
        <v>1462.09924835632</v>
      </c>
      <c r="U953">
        <v>5995834.25</v>
      </c>
      <c r="V953">
        <v>9335503.7007551026</v>
      </c>
      <c r="W953" t="s">
        <v>30</v>
      </c>
      <c r="X953" t="s">
        <v>929</v>
      </c>
      <c r="Y953" t="s">
        <v>1151</v>
      </c>
      <c r="Z953" t="b">
        <v>0</v>
      </c>
      <c r="AA953" t="s">
        <v>44</v>
      </c>
      <c r="AB953" t="s">
        <v>45</v>
      </c>
      <c r="AC953" t="s">
        <v>245</v>
      </c>
    </row>
    <row r="954" spans="2:29" x14ac:dyDescent="0.35">
      <c r="B954" t="s">
        <v>1127</v>
      </c>
      <c r="C954">
        <v>470.38</v>
      </c>
      <c r="D954" t="s">
        <v>39</v>
      </c>
      <c r="E954" s="10">
        <v>732.38085771987198</v>
      </c>
      <c r="F954" t="s">
        <v>30</v>
      </c>
      <c r="G954" s="14">
        <v>46143</v>
      </c>
      <c r="H954">
        <v>14588</v>
      </c>
      <c r="I954">
        <v>6861903.4399999995</v>
      </c>
      <c r="J954">
        <v>6847.4854309826896</v>
      </c>
      <c r="K954" t="s">
        <v>297</v>
      </c>
      <c r="L954" s="9" t="s">
        <v>298</v>
      </c>
      <c r="M954" t="s">
        <v>50</v>
      </c>
      <c r="N954" s="12">
        <v>567.51030832585616</v>
      </c>
      <c r="O954" s="13">
        <v>0.77488413623028218</v>
      </c>
      <c r="P954" s="9" t="s">
        <v>1127</v>
      </c>
      <c r="Q954">
        <v>834.87</v>
      </c>
      <c r="R954">
        <v>834.87</v>
      </c>
      <c r="S954" t="s">
        <v>39</v>
      </c>
      <c r="T954">
        <v>1299.8911660457281</v>
      </c>
      <c r="U954">
        <v>10985219.460000001</v>
      </c>
      <c r="V954">
        <v>17103967.96282969</v>
      </c>
      <c r="W954" t="s">
        <v>30</v>
      </c>
      <c r="X954" t="s">
        <v>299</v>
      </c>
      <c r="Y954" t="s">
        <v>1128</v>
      </c>
      <c r="Z954" t="b">
        <v>0</v>
      </c>
      <c r="AA954" t="s">
        <v>44</v>
      </c>
      <c r="AB954" t="s">
        <v>45</v>
      </c>
      <c r="AC954" t="s">
        <v>301</v>
      </c>
    </row>
    <row r="955" spans="2:29" x14ac:dyDescent="0.35">
      <c r="B955" t="s">
        <v>1146</v>
      </c>
      <c r="C955">
        <v>758.76</v>
      </c>
      <c r="D955" t="s">
        <v>39</v>
      </c>
      <c r="E955" s="10">
        <v>1181.388025858944</v>
      </c>
      <c r="F955" t="s">
        <v>30</v>
      </c>
      <c r="G955" s="14">
        <v>46143</v>
      </c>
      <c r="H955">
        <v>6896</v>
      </c>
      <c r="I955">
        <v>5232408.96</v>
      </c>
      <c r="J955">
        <v>1788.25925106723</v>
      </c>
      <c r="K955" t="s">
        <v>297</v>
      </c>
      <c r="L955" s="9" t="s">
        <v>298</v>
      </c>
      <c r="M955" t="s">
        <v>50</v>
      </c>
      <c r="N955" s="12">
        <v>392.36357018880005</v>
      </c>
      <c r="O955" s="13">
        <v>0.3321208287205441</v>
      </c>
      <c r="P955" s="9" t="s">
        <v>1146</v>
      </c>
      <c r="Q955">
        <v>506.76</v>
      </c>
      <c r="R955">
        <v>506.76</v>
      </c>
      <c r="S955" t="s">
        <v>39</v>
      </c>
      <c r="T955">
        <v>789.02445567014399</v>
      </c>
      <c r="U955">
        <v>7761536.1600000001</v>
      </c>
      <c r="V955">
        <v>12084698.563043926</v>
      </c>
      <c r="W955" t="s">
        <v>30</v>
      </c>
      <c r="X955" t="s">
        <v>299</v>
      </c>
      <c r="Y955" t="s">
        <v>1147</v>
      </c>
      <c r="Z955" t="b">
        <v>0</v>
      </c>
      <c r="AA955" t="s">
        <v>44</v>
      </c>
      <c r="AB955" t="s">
        <v>45</v>
      </c>
      <c r="AC955" t="s">
        <v>301</v>
      </c>
    </row>
    <row r="956" spans="2:29" x14ac:dyDescent="0.35">
      <c r="B956" t="s">
        <v>1129</v>
      </c>
      <c r="C956">
        <v>839.98</v>
      </c>
      <c r="D956" t="s">
        <v>39</v>
      </c>
      <c r="E956" s="10">
        <v>1307.8474273301122</v>
      </c>
      <c r="F956" t="s">
        <v>30</v>
      </c>
      <c r="G956" s="14">
        <v>46143</v>
      </c>
      <c r="H956">
        <v>14153</v>
      </c>
      <c r="I956">
        <v>11888236.939999999</v>
      </c>
      <c r="J956">
        <v>1651.95962037546</v>
      </c>
      <c r="K956" t="s">
        <v>297</v>
      </c>
      <c r="L956" s="9" t="s">
        <v>298</v>
      </c>
      <c r="M956" t="s">
        <v>50</v>
      </c>
      <c r="N956" s="12">
        <v>880.79393514208027</v>
      </c>
      <c r="O956" s="13">
        <v>0.67346841591466478</v>
      </c>
      <c r="P956" s="9" t="s">
        <v>1129</v>
      </c>
      <c r="Q956">
        <v>274.27999999999997</v>
      </c>
      <c r="R956">
        <v>274.27999999999997</v>
      </c>
      <c r="S956" t="s">
        <v>39</v>
      </c>
      <c r="T956">
        <v>427.05349218803195</v>
      </c>
      <c r="U956">
        <v>3959780.3599999994</v>
      </c>
      <c r="V956">
        <v>6165371.2667186176</v>
      </c>
      <c r="W956" t="s">
        <v>30</v>
      </c>
      <c r="X956" t="s">
        <v>299</v>
      </c>
      <c r="Y956" t="s">
        <v>1130</v>
      </c>
      <c r="Z956" t="b">
        <v>0</v>
      </c>
      <c r="AA956" t="s">
        <v>44</v>
      </c>
      <c r="AB956" t="s">
        <v>45</v>
      </c>
      <c r="AC956" t="s">
        <v>301</v>
      </c>
    </row>
    <row r="957" spans="2:29" x14ac:dyDescent="0.35">
      <c r="B957" t="s">
        <v>1161</v>
      </c>
      <c r="C957">
        <v>631.38</v>
      </c>
      <c r="D957" t="s">
        <v>29</v>
      </c>
      <c r="E957" s="10">
        <v>5866.0016272499997</v>
      </c>
      <c r="F957" t="s">
        <v>30</v>
      </c>
      <c r="G957" s="14">
        <v>46143</v>
      </c>
      <c r="H957">
        <v>14644</v>
      </c>
      <c r="I957">
        <v>9245928.7200000007</v>
      </c>
      <c r="J957">
        <v>107433.73216874999</v>
      </c>
      <c r="K957" t="s">
        <v>1162</v>
      </c>
      <c r="L957" s="9" t="s">
        <v>1163</v>
      </c>
      <c r="M957" t="s">
        <v>50</v>
      </c>
      <c r="N957" s="12">
        <v>4773.128954427696</v>
      </c>
      <c r="O957" s="13">
        <v>0.81369376582756836</v>
      </c>
      <c r="P957" s="9" t="s">
        <v>1161</v>
      </c>
      <c r="Q957">
        <v>701.91</v>
      </c>
      <c r="R957">
        <v>701.91</v>
      </c>
      <c r="S957" t="s">
        <v>39</v>
      </c>
      <c r="T957">
        <v>1092.8726728223039</v>
      </c>
      <c r="U957">
        <v>7332151.8599999994</v>
      </c>
      <c r="V957">
        <v>11416147.940301787</v>
      </c>
      <c r="W957" t="s">
        <v>30</v>
      </c>
      <c r="X957" t="s">
        <v>1164</v>
      </c>
      <c r="Y957" t="s">
        <v>639</v>
      </c>
      <c r="Z957" t="b">
        <v>0</v>
      </c>
      <c r="AA957" t="s">
        <v>35</v>
      </c>
      <c r="AB957" t="s">
        <v>36</v>
      </c>
      <c r="AC957" t="s">
        <v>744</v>
      </c>
    </row>
    <row r="958" spans="2:29" x14ac:dyDescent="0.35">
      <c r="B958" t="s">
        <v>1161</v>
      </c>
      <c r="C958">
        <v>493.86</v>
      </c>
      <c r="D958" t="s">
        <v>29</v>
      </c>
      <c r="E958" s="10">
        <v>4588.3359682499995</v>
      </c>
      <c r="F958" t="s">
        <v>30</v>
      </c>
      <c r="G958" s="14">
        <v>46143</v>
      </c>
      <c r="H958">
        <v>16553</v>
      </c>
      <c r="I958">
        <v>8174864.5800000001</v>
      </c>
      <c r="J958">
        <v>66939.479274375</v>
      </c>
      <c r="K958" t="s">
        <v>1162</v>
      </c>
      <c r="L958" s="9" t="s">
        <v>1163</v>
      </c>
      <c r="M958" t="s">
        <v>50</v>
      </c>
      <c r="N958" s="12">
        <v>4188.9659057363997</v>
      </c>
      <c r="O958" s="13">
        <v>0.91295971670838216</v>
      </c>
      <c r="P958" s="9" t="s">
        <v>1161</v>
      </c>
      <c r="Q958">
        <v>256.5</v>
      </c>
      <c r="R958">
        <v>256.5</v>
      </c>
      <c r="S958" t="s">
        <v>39</v>
      </c>
      <c r="T958">
        <v>399.37006251360003</v>
      </c>
      <c r="U958">
        <v>3212149.5</v>
      </c>
      <c r="V958">
        <v>5001311.2928578136</v>
      </c>
      <c r="W958" t="s">
        <v>30</v>
      </c>
      <c r="X958" t="s">
        <v>1164</v>
      </c>
      <c r="Y958" t="s">
        <v>639</v>
      </c>
      <c r="Z958" t="b">
        <v>0</v>
      </c>
      <c r="AA958" t="s">
        <v>35</v>
      </c>
      <c r="AB958" t="s">
        <v>36</v>
      </c>
      <c r="AC958" t="s">
        <v>744</v>
      </c>
    </row>
    <row r="959" spans="2:29" x14ac:dyDescent="0.35">
      <c r="B959" t="s">
        <v>1165</v>
      </c>
      <c r="C959">
        <v>57.59</v>
      </c>
      <c r="D959" t="s">
        <v>29</v>
      </c>
      <c r="E959" s="10">
        <v>535.05501237500005</v>
      </c>
      <c r="F959" t="s">
        <v>30</v>
      </c>
      <c r="G959" s="14">
        <v>46143</v>
      </c>
      <c r="H959">
        <v>5520</v>
      </c>
      <c r="I959">
        <v>317896.80000000005</v>
      </c>
      <c r="J959">
        <v>257958.02081250001</v>
      </c>
      <c r="K959" t="s">
        <v>1162</v>
      </c>
      <c r="L959" s="9" t="s">
        <v>1163</v>
      </c>
      <c r="M959" t="s">
        <v>50</v>
      </c>
      <c r="N959" s="12">
        <v>50.65660601239199</v>
      </c>
      <c r="O959" s="13">
        <v>9.4675509696727542E-2</v>
      </c>
      <c r="P959" s="9" t="s">
        <v>1165</v>
      </c>
      <c r="Q959">
        <v>376.18</v>
      </c>
      <c r="R959">
        <v>376.18</v>
      </c>
      <c r="S959" t="s">
        <v>39</v>
      </c>
      <c r="T959">
        <v>585.71161838739204</v>
      </c>
      <c r="U959">
        <v>2235637.7400000002</v>
      </c>
      <c r="V959">
        <v>3480884.1480762707</v>
      </c>
      <c r="W959" t="s">
        <v>30</v>
      </c>
      <c r="X959" t="s">
        <v>1164</v>
      </c>
      <c r="Y959" t="s">
        <v>639</v>
      </c>
      <c r="Z959" t="b">
        <v>0</v>
      </c>
      <c r="AA959" t="s">
        <v>35</v>
      </c>
      <c r="AB959" t="s">
        <v>36</v>
      </c>
      <c r="AC959" t="s">
        <v>640</v>
      </c>
    </row>
    <row r="960" spans="2:29" x14ac:dyDescent="0.35">
      <c r="B960" t="s">
        <v>1166</v>
      </c>
      <c r="C960">
        <v>353.13</v>
      </c>
      <c r="D960" t="s">
        <v>39</v>
      </c>
      <c r="E960" s="10">
        <v>549.82280770147202</v>
      </c>
      <c r="F960" t="s">
        <v>30</v>
      </c>
      <c r="G960" s="14">
        <v>46143</v>
      </c>
      <c r="H960">
        <v>18655</v>
      </c>
      <c r="I960">
        <v>6587640.1500000004</v>
      </c>
      <c r="J960">
        <v>26030.520285097002</v>
      </c>
      <c r="K960" t="s">
        <v>985</v>
      </c>
      <c r="L960" s="9" t="s">
        <v>986</v>
      </c>
      <c r="M960" t="s">
        <v>50</v>
      </c>
      <c r="N960" s="12">
        <v>189.54897236025602</v>
      </c>
      <c r="O960" s="13">
        <v>0.34474556112479826</v>
      </c>
      <c r="P960" s="9" t="s">
        <v>1166</v>
      </c>
      <c r="Q960">
        <v>231.39</v>
      </c>
      <c r="R960">
        <v>2.3138999999999998</v>
      </c>
      <c r="S960" t="s">
        <v>39</v>
      </c>
      <c r="T960">
        <v>360.273835341216</v>
      </c>
      <c r="U960">
        <v>3331321.8299999996</v>
      </c>
      <c r="V960">
        <v>5186862.4074074868</v>
      </c>
      <c r="W960" t="s">
        <v>249</v>
      </c>
      <c r="X960" t="s">
        <v>987</v>
      </c>
      <c r="Y960" t="s">
        <v>1167</v>
      </c>
      <c r="Z960" t="b">
        <v>0</v>
      </c>
      <c r="AA960" t="s">
        <v>44</v>
      </c>
      <c r="AB960" t="s">
        <v>45</v>
      </c>
      <c r="AC960" t="s">
        <v>273</v>
      </c>
    </row>
    <row r="961" spans="2:29" x14ac:dyDescent="0.35">
      <c r="B961" t="s">
        <v>563</v>
      </c>
      <c r="C961">
        <v>801.04</v>
      </c>
      <c r="D961" t="s">
        <v>39</v>
      </c>
      <c r="E961" s="10">
        <v>1247.217913746176</v>
      </c>
      <c r="F961" t="s">
        <v>30</v>
      </c>
      <c r="G961" s="14">
        <v>46143</v>
      </c>
      <c r="H961">
        <v>7428</v>
      </c>
      <c r="I961">
        <v>5950125.1200000001</v>
      </c>
      <c r="J961">
        <v>5672.4561861580796</v>
      </c>
      <c r="K961" t="s">
        <v>454</v>
      </c>
      <c r="L961" s="9" t="s">
        <v>455</v>
      </c>
      <c r="M961" t="s">
        <v>50</v>
      </c>
      <c r="N961" s="12">
        <v>1183.08515399984</v>
      </c>
      <c r="O961" s="13">
        <v>0.94857934684909617</v>
      </c>
      <c r="P961" s="9" t="s">
        <v>563</v>
      </c>
      <c r="Q961">
        <v>41.19</v>
      </c>
      <c r="R961">
        <v>0.41189999999999999</v>
      </c>
      <c r="S961" t="s">
        <v>39</v>
      </c>
      <c r="T961">
        <v>64.132759746335992</v>
      </c>
      <c r="U961">
        <v>742902.84</v>
      </c>
      <c r="V961">
        <v>1156698.454784916</v>
      </c>
      <c r="W961" t="s">
        <v>249</v>
      </c>
      <c r="X961" t="s">
        <v>317</v>
      </c>
      <c r="Y961" t="s">
        <v>564</v>
      </c>
      <c r="Z961" t="b">
        <v>0</v>
      </c>
      <c r="AA961" t="s">
        <v>565</v>
      </c>
      <c r="AB961" t="s">
        <v>45</v>
      </c>
      <c r="AC961" t="s">
        <v>251</v>
      </c>
    </row>
    <row r="962" spans="2:29" x14ac:dyDescent="0.35">
      <c r="B962" t="s">
        <v>941</v>
      </c>
      <c r="C962">
        <v>401.85</v>
      </c>
      <c r="D962" t="s">
        <v>29</v>
      </c>
      <c r="E962" s="10">
        <v>3733.4929106250001</v>
      </c>
      <c r="F962" t="s">
        <v>30</v>
      </c>
      <c r="G962" s="14">
        <v>46143</v>
      </c>
      <c r="H962">
        <v>18789</v>
      </c>
      <c r="I962">
        <v>7550359.6500000004</v>
      </c>
      <c r="J962">
        <v>9197.8548750000009</v>
      </c>
      <c r="K962" t="s">
        <v>329</v>
      </c>
      <c r="L962" s="9" t="s">
        <v>330</v>
      </c>
      <c r="M962" t="s">
        <v>50</v>
      </c>
      <c r="N962" s="12">
        <v>2460.366545260008</v>
      </c>
      <c r="O962" s="13">
        <v>0.65899858501355335</v>
      </c>
      <c r="P962" s="9" t="s">
        <v>941</v>
      </c>
      <c r="Q962">
        <v>817.68</v>
      </c>
      <c r="R962">
        <v>817.68</v>
      </c>
      <c r="S962" t="s">
        <v>39</v>
      </c>
      <c r="T962">
        <v>1273.1263653649919</v>
      </c>
      <c r="U962">
        <v>2356553.7599999998</v>
      </c>
      <c r="V962">
        <v>3669150.1849819068</v>
      </c>
      <c r="W962" t="s">
        <v>30</v>
      </c>
      <c r="X962" t="s">
        <v>331</v>
      </c>
      <c r="Y962" t="s">
        <v>942</v>
      </c>
      <c r="Z962" t="b">
        <v>0</v>
      </c>
      <c r="AA962" t="s">
        <v>44</v>
      </c>
      <c r="AB962" t="s">
        <v>36</v>
      </c>
      <c r="AC962" t="s">
        <v>251</v>
      </c>
    </row>
    <row r="963" spans="2:29" x14ac:dyDescent="0.35">
      <c r="B963" t="s">
        <v>999</v>
      </c>
      <c r="C963">
        <v>523.57000000000005</v>
      </c>
      <c r="D963" t="s">
        <v>39</v>
      </c>
      <c r="E963" s="10">
        <v>815.19759699900806</v>
      </c>
      <c r="F963" t="s">
        <v>30</v>
      </c>
      <c r="G963" s="14">
        <v>46143</v>
      </c>
      <c r="H963">
        <v>19937</v>
      </c>
      <c r="I963">
        <v>10438415.090000002</v>
      </c>
      <c r="J963">
        <v>3525.8226376687999</v>
      </c>
      <c r="K963" t="s">
        <v>985</v>
      </c>
      <c r="L963" s="9" t="s">
        <v>986</v>
      </c>
      <c r="M963" t="s">
        <v>50</v>
      </c>
      <c r="N963" s="12">
        <v>592.04860144560007</v>
      </c>
      <c r="O963" s="13">
        <v>0.72626391886471731</v>
      </c>
      <c r="P963" s="9" t="s">
        <v>999</v>
      </c>
      <c r="Q963">
        <v>903.82</v>
      </c>
      <c r="R963">
        <v>9.0381999999999998</v>
      </c>
      <c r="S963" t="s">
        <v>39</v>
      </c>
      <c r="T963">
        <v>1407.2461984446081</v>
      </c>
      <c r="U963">
        <v>11482129.280000001</v>
      </c>
      <c r="V963">
        <v>17877655.705040302</v>
      </c>
      <c r="W963" t="s">
        <v>249</v>
      </c>
      <c r="X963" t="s">
        <v>987</v>
      </c>
      <c r="Y963" t="s">
        <v>1000</v>
      </c>
      <c r="Z963" t="b">
        <v>0</v>
      </c>
      <c r="AA963" t="s">
        <v>44</v>
      </c>
      <c r="AB963" t="s">
        <v>45</v>
      </c>
      <c r="AC963" t="s">
        <v>288</v>
      </c>
    </row>
    <row r="964" spans="2:29" x14ac:dyDescent="0.35">
      <c r="B964" t="s">
        <v>999</v>
      </c>
      <c r="C964">
        <v>967.25</v>
      </c>
      <c r="D964" t="s">
        <v>39</v>
      </c>
      <c r="E964" s="10">
        <v>1506.0066002584001</v>
      </c>
      <c r="F964" t="s">
        <v>30</v>
      </c>
      <c r="G964" s="14">
        <v>46143</v>
      </c>
      <c r="H964">
        <v>17148</v>
      </c>
      <c r="I964">
        <v>16586403</v>
      </c>
      <c r="J964">
        <v>503.68894823839997</v>
      </c>
      <c r="K964" t="s">
        <v>985</v>
      </c>
      <c r="L964" s="9" t="s">
        <v>986</v>
      </c>
      <c r="M964" t="s">
        <v>50</v>
      </c>
      <c r="N964" s="12">
        <v>532.86709627545611</v>
      </c>
      <c r="O964" s="13">
        <v>0.35382786249676923</v>
      </c>
      <c r="P964" s="9" t="s">
        <v>999</v>
      </c>
      <c r="Q964">
        <v>625.01</v>
      </c>
      <c r="R964">
        <v>6.2500999999999998</v>
      </c>
      <c r="S964" t="s">
        <v>39</v>
      </c>
      <c r="T964">
        <v>973.13950398294401</v>
      </c>
      <c r="U964">
        <v>5836343.3799999999</v>
      </c>
      <c r="V964">
        <v>9087176.6881927308</v>
      </c>
      <c r="W964" t="s">
        <v>249</v>
      </c>
      <c r="X964" t="s">
        <v>987</v>
      </c>
      <c r="Y964" t="s">
        <v>1000</v>
      </c>
      <c r="Z964" t="b">
        <v>0</v>
      </c>
      <c r="AA964" t="s">
        <v>44</v>
      </c>
      <c r="AB964" t="s">
        <v>45</v>
      </c>
      <c r="AC964" t="s">
        <v>288</v>
      </c>
    </row>
    <row r="965" spans="2:29" x14ac:dyDescent="0.35">
      <c r="B965" t="s">
        <v>984</v>
      </c>
      <c r="C965">
        <v>265.11</v>
      </c>
      <c r="D965" t="s">
        <v>39</v>
      </c>
      <c r="E965" s="10">
        <v>412.77581782838405</v>
      </c>
      <c r="F965" t="s">
        <v>30</v>
      </c>
      <c r="G965" s="14">
        <v>46143</v>
      </c>
      <c r="H965">
        <v>5510</v>
      </c>
      <c r="I965">
        <v>1460756.1</v>
      </c>
      <c r="J965">
        <v>3513.0863916206099</v>
      </c>
      <c r="K965" t="s">
        <v>985</v>
      </c>
      <c r="L965" s="9" t="s">
        <v>986</v>
      </c>
      <c r="M965" t="s">
        <v>50</v>
      </c>
      <c r="N965" s="12">
        <v>208.13953199539202</v>
      </c>
      <c r="O965" s="13">
        <v>0.50424352155708951</v>
      </c>
      <c r="P965" s="9" t="s">
        <v>984</v>
      </c>
      <c r="Q965">
        <v>398.79</v>
      </c>
      <c r="R965">
        <v>3.9879000000000002</v>
      </c>
      <c r="S965" t="s">
        <v>39</v>
      </c>
      <c r="T965">
        <v>620.91534982377607</v>
      </c>
      <c r="U965">
        <v>1347910.2</v>
      </c>
      <c r="V965">
        <v>2098693.8824043632</v>
      </c>
      <c r="W965" t="s">
        <v>249</v>
      </c>
      <c r="X965" t="s">
        <v>987</v>
      </c>
      <c r="Y965" t="s">
        <v>988</v>
      </c>
      <c r="Z965" t="b">
        <v>0</v>
      </c>
      <c r="AA965" t="s">
        <v>44</v>
      </c>
      <c r="AB965" t="s">
        <v>45</v>
      </c>
      <c r="AC965" t="s">
        <v>251</v>
      </c>
    </row>
    <row r="966" spans="2:29" x14ac:dyDescent="0.35">
      <c r="B966" t="s">
        <v>1168</v>
      </c>
      <c r="C966">
        <v>183.18</v>
      </c>
      <c r="D966" t="s">
        <v>39</v>
      </c>
      <c r="E966" s="10">
        <v>285.21094756819201</v>
      </c>
      <c r="F966" t="s">
        <v>30</v>
      </c>
      <c r="G966" s="14">
        <v>46143</v>
      </c>
      <c r="H966">
        <v>6580</v>
      </c>
      <c r="I966">
        <v>1205324.4000000001</v>
      </c>
      <c r="J966">
        <v>25173.5484238592</v>
      </c>
      <c r="K966" t="s">
        <v>985</v>
      </c>
      <c r="L966" s="9" t="s">
        <v>986</v>
      </c>
      <c r="M966" t="s">
        <v>50</v>
      </c>
      <c r="N966" s="12">
        <v>988.7406268928321</v>
      </c>
      <c r="O966" s="13">
        <v>3.4666994213342068</v>
      </c>
      <c r="P966" s="9" t="s">
        <v>1168</v>
      </c>
      <c r="Q966">
        <v>818.21</v>
      </c>
      <c r="R966">
        <v>8.1821000000000002</v>
      </c>
      <c r="S966" t="s">
        <v>39</v>
      </c>
      <c r="T966">
        <v>1273.9515744610242</v>
      </c>
      <c r="U966">
        <v>507290.2</v>
      </c>
      <c r="V966">
        <v>789849.97616583493</v>
      </c>
      <c r="W966" t="s">
        <v>249</v>
      </c>
      <c r="X966" t="s">
        <v>987</v>
      </c>
      <c r="Y966" t="s">
        <v>1169</v>
      </c>
      <c r="Z966" t="b">
        <v>0</v>
      </c>
      <c r="AA966" t="s">
        <v>44</v>
      </c>
      <c r="AB966" t="s">
        <v>45</v>
      </c>
      <c r="AC966" t="s">
        <v>251</v>
      </c>
    </row>
    <row r="967" spans="2:29" x14ac:dyDescent="0.35">
      <c r="B967" t="s">
        <v>1170</v>
      </c>
      <c r="C967">
        <v>863.16</v>
      </c>
      <c r="D967" t="s">
        <v>39</v>
      </c>
      <c r="E967" s="10">
        <v>1343.938647794304</v>
      </c>
      <c r="F967" t="s">
        <v>30</v>
      </c>
      <c r="G967" s="14">
        <v>46143</v>
      </c>
      <c r="H967">
        <v>250</v>
      </c>
      <c r="I967">
        <v>215790</v>
      </c>
      <c r="J967">
        <v>56721.447864991998</v>
      </c>
      <c r="K967" t="s">
        <v>985</v>
      </c>
      <c r="L967" s="9" t="s">
        <v>986</v>
      </c>
      <c r="M967" t="s">
        <v>50</v>
      </c>
      <c r="N967" s="12">
        <v>44.000771799743916</v>
      </c>
      <c r="O967" s="13">
        <v>3.2740164048380309E-2</v>
      </c>
      <c r="P967" s="9" t="s">
        <v>1170</v>
      </c>
      <c r="Q967">
        <v>834.9</v>
      </c>
      <c r="R967">
        <v>8.3490000000000002</v>
      </c>
      <c r="S967" t="s">
        <v>39</v>
      </c>
      <c r="T967">
        <v>1299.93787599456</v>
      </c>
      <c r="U967">
        <v>7610948.3999999994</v>
      </c>
      <c r="V967">
        <v>11850233.677566409</v>
      </c>
      <c r="W967" t="s">
        <v>249</v>
      </c>
      <c r="X967" t="s">
        <v>987</v>
      </c>
      <c r="Y967" t="s">
        <v>1171</v>
      </c>
      <c r="Z967" t="b">
        <v>0</v>
      </c>
      <c r="AA967" t="s">
        <v>44</v>
      </c>
      <c r="AB967" t="s">
        <v>45</v>
      </c>
      <c r="AC967" t="s">
        <v>251</v>
      </c>
    </row>
    <row r="968" spans="2:29" x14ac:dyDescent="0.35">
      <c r="B968" t="s">
        <v>1172</v>
      </c>
      <c r="C968">
        <v>971.5</v>
      </c>
      <c r="D968" t="s">
        <v>39</v>
      </c>
      <c r="E968" s="10">
        <v>1512.6238430096</v>
      </c>
      <c r="F968" t="s">
        <v>30</v>
      </c>
      <c r="G968" s="14">
        <v>46143</v>
      </c>
      <c r="H968">
        <v>6883</v>
      </c>
      <c r="I968">
        <v>6686834.5</v>
      </c>
      <c r="J968">
        <v>27629.744373241101</v>
      </c>
      <c r="K968" t="s">
        <v>985</v>
      </c>
      <c r="L968" s="9" t="s">
        <v>986</v>
      </c>
      <c r="M968" t="s">
        <v>50</v>
      </c>
      <c r="N968" s="12">
        <v>529.11473038595204</v>
      </c>
      <c r="O968" s="13">
        <v>0.34979927946474526</v>
      </c>
      <c r="P968" s="9" t="s">
        <v>1172</v>
      </c>
      <c r="Q968">
        <v>631.66999999999996</v>
      </c>
      <c r="R968">
        <v>6.3167</v>
      </c>
      <c r="S968" t="s">
        <v>39</v>
      </c>
      <c r="T968">
        <v>983.50911262364798</v>
      </c>
      <c r="U968">
        <v>4837328.8599999994</v>
      </c>
      <c r="V968">
        <v>7531712.7844718965</v>
      </c>
      <c r="W968" t="s">
        <v>249</v>
      </c>
      <c r="X968" t="s">
        <v>987</v>
      </c>
      <c r="Y968" t="s">
        <v>1173</v>
      </c>
      <c r="Z968" t="b">
        <v>0</v>
      </c>
      <c r="AA968" t="s">
        <v>44</v>
      </c>
      <c r="AB968" t="s">
        <v>45</v>
      </c>
      <c r="AC968" t="s">
        <v>251</v>
      </c>
    </row>
    <row r="969" spans="2:29" x14ac:dyDescent="0.35">
      <c r="B969" t="s">
        <v>1174</v>
      </c>
      <c r="C969">
        <v>275.13</v>
      </c>
      <c r="D969" t="s">
        <v>39</v>
      </c>
      <c r="E969" s="10">
        <v>428.37694073827203</v>
      </c>
      <c r="F969" t="s">
        <v>30</v>
      </c>
      <c r="G969" s="14">
        <v>46143</v>
      </c>
      <c r="H969">
        <v>5390</v>
      </c>
      <c r="I969">
        <v>1482950.7</v>
      </c>
      <c r="J969">
        <v>23573.452416670199</v>
      </c>
      <c r="K969" t="s">
        <v>985</v>
      </c>
      <c r="L969" s="9" t="s">
        <v>986</v>
      </c>
      <c r="M969" t="s">
        <v>50</v>
      </c>
      <c r="N969" s="12">
        <v>518.16903237631982</v>
      </c>
      <c r="O969" s="13">
        <v>1.2096100025442513</v>
      </c>
      <c r="P969" s="9" t="s">
        <v>1174</v>
      </c>
      <c r="Q969">
        <v>607.92999999999995</v>
      </c>
      <c r="R969">
        <v>6.0792999999999999</v>
      </c>
      <c r="S969" t="s">
        <v>39</v>
      </c>
      <c r="T969">
        <v>946.5459731145919</v>
      </c>
      <c r="U969">
        <v>11309321.789999999</v>
      </c>
      <c r="V969">
        <v>17608594.737850752</v>
      </c>
      <c r="W969" t="s">
        <v>249</v>
      </c>
      <c r="X969" t="s">
        <v>987</v>
      </c>
      <c r="Y969" t="s">
        <v>1175</v>
      </c>
      <c r="Z969" t="b">
        <v>0</v>
      </c>
      <c r="AA969" t="s">
        <v>44</v>
      </c>
      <c r="AB969" t="s">
        <v>45</v>
      </c>
      <c r="AC969" t="s">
        <v>251</v>
      </c>
    </row>
    <row r="970" spans="2:29" x14ac:dyDescent="0.35">
      <c r="B970" t="s">
        <v>1083</v>
      </c>
      <c r="C970">
        <v>421.39</v>
      </c>
      <c r="D970" t="s">
        <v>39</v>
      </c>
      <c r="E970" s="10">
        <v>656.10351127721594</v>
      </c>
      <c r="F970" t="s">
        <v>30</v>
      </c>
      <c r="G970" s="14">
        <v>46143</v>
      </c>
      <c r="H970">
        <v>19596</v>
      </c>
      <c r="I970">
        <v>8257558.4399999995</v>
      </c>
      <c r="J970">
        <v>4191.4394085247995</v>
      </c>
      <c r="K970" t="s">
        <v>241</v>
      </c>
      <c r="L970" s="9" t="s">
        <v>242</v>
      </c>
      <c r="M970" t="s">
        <v>50</v>
      </c>
      <c r="N970" s="12">
        <v>302.9295881584639</v>
      </c>
      <c r="O970" s="13">
        <v>0.46171005481857652</v>
      </c>
      <c r="P970" s="9" t="s">
        <v>1083</v>
      </c>
      <c r="Q970">
        <v>226.83</v>
      </c>
      <c r="R970">
        <v>226.83</v>
      </c>
      <c r="S970" t="s">
        <v>39</v>
      </c>
      <c r="T970">
        <v>353.17392311875204</v>
      </c>
      <c r="U970">
        <v>3316027.77</v>
      </c>
      <c r="V970">
        <v>5163049.5820730366</v>
      </c>
      <c r="W970" t="s">
        <v>30</v>
      </c>
      <c r="X970" t="s">
        <v>966</v>
      </c>
      <c r="Y970" t="s">
        <v>1084</v>
      </c>
      <c r="Z970" t="b">
        <v>0</v>
      </c>
      <c r="AB970" t="s">
        <v>45</v>
      </c>
      <c r="AC970" t="s">
        <v>968</v>
      </c>
    </row>
    <row r="971" spans="2:29" x14ac:dyDescent="0.35">
      <c r="B971" t="s">
        <v>1176</v>
      </c>
      <c r="C971">
        <v>250.3</v>
      </c>
      <c r="D971" t="s">
        <v>39</v>
      </c>
      <c r="E971" s="10">
        <v>389.71667308832002</v>
      </c>
      <c r="F971" t="s">
        <v>30</v>
      </c>
      <c r="G971" s="14">
        <v>46143</v>
      </c>
      <c r="H971">
        <v>5295</v>
      </c>
      <c r="I971">
        <v>1325338.5</v>
      </c>
      <c r="J971">
        <v>1861.7340005799699</v>
      </c>
      <c r="K971" t="s">
        <v>474</v>
      </c>
      <c r="L971" s="9" t="s">
        <v>475</v>
      </c>
      <c r="M971" t="s">
        <v>50</v>
      </c>
      <c r="N971" s="12">
        <v>330.675297764672</v>
      </c>
      <c r="O971" s="13">
        <v>0.84850179784258883</v>
      </c>
      <c r="P971" s="9" t="s">
        <v>1176</v>
      </c>
      <c r="Q971">
        <v>462.68</v>
      </c>
      <c r="R971">
        <v>0.46267999999999998</v>
      </c>
      <c r="S971" t="s">
        <v>39</v>
      </c>
      <c r="T971">
        <v>720.39197085299202</v>
      </c>
      <c r="U971">
        <v>1518053.08</v>
      </c>
      <c r="V971">
        <v>2363606.0563686667</v>
      </c>
      <c r="W971" t="s">
        <v>352</v>
      </c>
      <c r="X971" t="s">
        <v>476</v>
      </c>
      <c r="Y971" t="s">
        <v>1177</v>
      </c>
      <c r="Z971" t="b">
        <v>0</v>
      </c>
      <c r="AA971" t="s">
        <v>44</v>
      </c>
      <c r="AB971" t="s">
        <v>45</v>
      </c>
      <c r="AC971" t="s">
        <v>434</v>
      </c>
    </row>
    <row r="972" spans="2:29" x14ac:dyDescent="0.35">
      <c r="B972" t="s">
        <v>1176</v>
      </c>
      <c r="C972">
        <v>635.6</v>
      </c>
      <c r="D972" t="s">
        <v>39</v>
      </c>
      <c r="E972" s="10">
        <v>989.62811592064008</v>
      </c>
      <c r="F972" t="s">
        <v>30</v>
      </c>
      <c r="G972" s="14">
        <v>46143</v>
      </c>
      <c r="H972">
        <v>19295</v>
      </c>
      <c r="I972">
        <v>12263902</v>
      </c>
      <c r="J972">
        <v>351.16539531897598</v>
      </c>
      <c r="K972" t="s">
        <v>474</v>
      </c>
      <c r="L972" s="9" t="s">
        <v>475</v>
      </c>
      <c r="M972" t="s">
        <v>50</v>
      </c>
      <c r="N972" s="12">
        <v>419.86016006790396</v>
      </c>
      <c r="O972" s="13">
        <v>0.42426054122089357</v>
      </c>
      <c r="P972" s="9" t="s">
        <v>1176</v>
      </c>
      <c r="Q972">
        <v>905.26</v>
      </c>
      <c r="R972">
        <v>0.90525999999999995</v>
      </c>
      <c r="S972" t="s">
        <v>39</v>
      </c>
      <c r="T972">
        <v>1409.488275988544</v>
      </c>
      <c r="U972">
        <v>15006495.02</v>
      </c>
      <c r="V972">
        <v>23365087.151062094</v>
      </c>
      <c r="W972" t="s">
        <v>352</v>
      </c>
      <c r="X972" t="s">
        <v>476</v>
      </c>
      <c r="Y972" t="s">
        <v>1177</v>
      </c>
      <c r="Z972" t="b">
        <v>0</v>
      </c>
      <c r="AA972" t="s">
        <v>44</v>
      </c>
      <c r="AB972" t="s">
        <v>45</v>
      </c>
      <c r="AC972" t="s">
        <v>434</v>
      </c>
    </row>
    <row r="973" spans="2:29" x14ac:dyDescent="0.35">
      <c r="B973" t="s">
        <v>1176</v>
      </c>
      <c r="C973">
        <v>844.65</v>
      </c>
      <c r="D973" t="s">
        <v>39</v>
      </c>
      <c r="E973" s="10">
        <v>1315.1186093649601</v>
      </c>
      <c r="F973" t="s">
        <v>30</v>
      </c>
      <c r="G973" s="14">
        <v>46143</v>
      </c>
      <c r="H973">
        <v>11889</v>
      </c>
      <c r="I973">
        <v>10042043.85</v>
      </c>
      <c r="J973">
        <v>866.76538050953604</v>
      </c>
      <c r="K973" t="s">
        <v>474</v>
      </c>
      <c r="L973" s="9" t="s">
        <v>475</v>
      </c>
      <c r="M973" t="s">
        <v>50</v>
      </c>
      <c r="N973" s="12">
        <v>895.74111876832012</v>
      </c>
      <c r="O973" s="13">
        <v>0.6811105191499438</v>
      </c>
      <c r="P973" s="9" t="s">
        <v>1176</v>
      </c>
      <c r="Q973">
        <v>269.35000000000002</v>
      </c>
      <c r="R973">
        <v>0.26935000000000003</v>
      </c>
      <c r="S973" t="s">
        <v>39</v>
      </c>
      <c r="T973">
        <v>419.37749059664003</v>
      </c>
      <c r="U973">
        <v>4118630.8500000006</v>
      </c>
      <c r="V973">
        <v>6412701.2087132223</v>
      </c>
      <c r="W973" t="s">
        <v>352</v>
      </c>
      <c r="X973" t="s">
        <v>476</v>
      </c>
      <c r="Y973" t="s">
        <v>1177</v>
      </c>
      <c r="Z973" t="b">
        <v>0</v>
      </c>
      <c r="AA973" t="s">
        <v>44</v>
      </c>
      <c r="AB973" t="s">
        <v>45</v>
      </c>
      <c r="AC973" t="s">
        <v>434</v>
      </c>
    </row>
    <row r="974" spans="2:29" x14ac:dyDescent="0.35">
      <c r="B974" t="s">
        <v>926</v>
      </c>
      <c r="C974">
        <v>765.67</v>
      </c>
      <c r="D974" t="s">
        <v>39</v>
      </c>
      <c r="E974" s="10">
        <v>1192.146884073248</v>
      </c>
      <c r="F974" t="s">
        <v>30</v>
      </c>
      <c r="G974" s="14">
        <v>46143</v>
      </c>
      <c r="H974">
        <v>18725</v>
      </c>
      <c r="I974">
        <v>14337170.75</v>
      </c>
      <c r="J974">
        <v>5586.5098803071996</v>
      </c>
      <c r="K974" t="s">
        <v>927</v>
      </c>
      <c r="L974" s="9" t="s">
        <v>928</v>
      </c>
      <c r="M974" t="s">
        <v>50</v>
      </c>
      <c r="N974" s="12">
        <v>397.00342510611199</v>
      </c>
      <c r="O974" s="13">
        <v>0.33301552888320035</v>
      </c>
      <c r="P974" s="9" t="s">
        <v>926</v>
      </c>
      <c r="Q974">
        <v>510.69</v>
      </c>
      <c r="R974">
        <v>510.69</v>
      </c>
      <c r="S974" t="s">
        <v>39</v>
      </c>
      <c r="T974">
        <v>795.14345896713598</v>
      </c>
      <c r="U974">
        <v>2090764.86</v>
      </c>
      <c r="V974">
        <v>3255317.3210114548</v>
      </c>
      <c r="W974" t="s">
        <v>30</v>
      </c>
      <c r="X974" t="s">
        <v>929</v>
      </c>
      <c r="Y974" t="s">
        <v>930</v>
      </c>
      <c r="Z974" t="b">
        <v>0</v>
      </c>
      <c r="AA974" t="s">
        <v>44</v>
      </c>
      <c r="AB974" t="s">
        <v>45</v>
      </c>
      <c r="AC974" t="s">
        <v>245</v>
      </c>
    </row>
    <row r="975" spans="2:29" x14ac:dyDescent="0.35">
      <c r="B975" t="s">
        <v>1137</v>
      </c>
      <c r="C975">
        <v>11.37</v>
      </c>
      <c r="D975" t="s">
        <v>39</v>
      </c>
      <c r="E975" s="10">
        <v>17.703070607327998</v>
      </c>
      <c r="F975" t="s">
        <v>30</v>
      </c>
      <c r="G975" s="14">
        <v>46143</v>
      </c>
      <c r="H975">
        <v>17699</v>
      </c>
      <c r="I975">
        <v>201237.62999999998</v>
      </c>
      <c r="J975">
        <v>1217.7283660502401</v>
      </c>
      <c r="K975" t="s">
        <v>474</v>
      </c>
      <c r="L975" s="9" t="s">
        <v>475</v>
      </c>
      <c r="M975" t="s">
        <v>50</v>
      </c>
      <c r="N975" s="12">
        <v>564.8945511912641</v>
      </c>
      <c r="O975" s="13">
        <v>31.909410729991215</v>
      </c>
      <c r="P975" s="9" t="s">
        <v>1137</v>
      </c>
      <c r="Q975">
        <v>374.18</v>
      </c>
      <c r="R975">
        <v>0.37418000000000001</v>
      </c>
      <c r="S975" t="s">
        <v>39</v>
      </c>
      <c r="T975">
        <v>582.59762179859206</v>
      </c>
      <c r="U975">
        <v>5290156.84</v>
      </c>
      <c r="V975">
        <v>8236765.1769884946</v>
      </c>
      <c r="W975" t="s">
        <v>352</v>
      </c>
      <c r="X975" t="s">
        <v>476</v>
      </c>
      <c r="Y975" t="s">
        <v>1138</v>
      </c>
      <c r="Z975" t="b">
        <v>0</v>
      </c>
      <c r="AA975" t="s">
        <v>44</v>
      </c>
      <c r="AB975" t="s">
        <v>45</v>
      </c>
      <c r="AC975" t="s">
        <v>434</v>
      </c>
    </row>
    <row r="976" spans="2:29" x14ac:dyDescent="0.35">
      <c r="B976" t="s">
        <v>1178</v>
      </c>
      <c r="C976">
        <v>463.7</v>
      </c>
      <c r="D976" t="s">
        <v>39</v>
      </c>
      <c r="E976" s="10">
        <v>721.98010911328004</v>
      </c>
      <c r="F976" t="s">
        <v>30</v>
      </c>
      <c r="G976" s="14">
        <v>46143</v>
      </c>
      <c r="H976">
        <v>17980</v>
      </c>
      <c r="I976">
        <v>8337326</v>
      </c>
      <c r="J976">
        <v>8320.5988852736009</v>
      </c>
      <c r="K976" t="s">
        <v>985</v>
      </c>
      <c r="L976" s="9" t="s">
        <v>986</v>
      </c>
      <c r="M976" t="s">
        <v>50</v>
      </c>
      <c r="N976" s="12">
        <v>243.24984353411196</v>
      </c>
      <c r="O976" s="13">
        <v>0.33692042268708211</v>
      </c>
      <c r="P976" s="9" t="s">
        <v>1178</v>
      </c>
      <c r="Q976">
        <v>619.92999999999995</v>
      </c>
      <c r="R976">
        <v>6.1992999999999991</v>
      </c>
      <c r="S976" t="s">
        <v>39</v>
      </c>
      <c r="T976">
        <v>965.229952647392</v>
      </c>
      <c r="U976">
        <v>5135500.1199999992</v>
      </c>
      <c r="V976">
        <v>7995964.9277309952</v>
      </c>
      <c r="W976" t="s">
        <v>249</v>
      </c>
      <c r="X976" t="s">
        <v>987</v>
      </c>
      <c r="Y976" t="s">
        <v>1179</v>
      </c>
      <c r="Z976" t="b">
        <v>0</v>
      </c>
      <c r="AA976" t="s">
        <v>44</v>
      </c>
      <c r="AB976" t="s">
        <v>45</v>
      </c>
      <c r="AC976" t="s">
        <v>251</v>
      </c>
    </row>
    <row r="977" spans="2:29" x14ac:dyDescent="0.35">
      <c r="B977" t="s">
        <v>1178</v>
      </c>
      <c r="C977">
        <v>2.29</v>
      </c>
      <c r="D977" t="s">
        <v>39</v>
      </c>
      <c r="E977" s="10">
        <v>3.5655260941760001</v>
      </c>
      <c r="F977" t="s">
        <v>30</v>
      </c>
      <c r="G977" s="14">
        <v>46143</v>
      </c>
      <c r="H977">
        <v>6551</v>
      </c>
      <c r="I977">
        <v>15001.79</v>
      </c>
      <c r="J977">
        <v>416.02994426368002</v>
      </c>
      <c r="K977" t="s">
        <v>985</v>
      </c>
      <c r="L977" s="9" t="s">
        <v>986</v>
      </c>
      <c r="M977" t="s">
        <v>50</v>
      </c>
      <c r="N977" s="12">
        <v>767.2109095656001</v>
      </c>
      <c r="O977" s="13">
        <v>215.17467248908298</v>
      </c>
      <c r="P977" s="9" t="s">
        <v>1178</v>
      </c>
      <c r="Q977">
        <v>495.04</v>
      </c>
      <c r="R977">
        <v>4.9504000000000001</v>
      </c>
      <c r="S977" t="s">
        <v>39</v>
      </c>
      <c r="T977">
        <v>770.7764356597761</v>
      </c>
      <c r="U977">
        <v>4955845.4400000004</v>
      </c>
      <c r="V977">
        <v>7716242.8973900182</v>
      </c>
      <c r="W977" t="s">
        <v>249</v>
      </c>
      <c r="X977" t="s">
        <v>987</v>
      </c>
      <c r="Y977" t="s">
        <v>1179</v>
      </c>
      <c r="Z977" t="b">
        <v>0</v>
      </c>
      <c r="AA977" t="s">
        <v>44</v>
      </c>
      <c r="AB977" t="s">
        <v>45</v>
      </c>
      <c r="AC977" t="s">
        <v>251</v>
      </c>
    </row>
    <row r="978" spans="2:29" x14ac:dyDescent="0.35">
      <c r="B978" t="s">
        <v>1180</v>
      </c>
      <c r="C978">
        <v>785.53</v>
      </c>
      <c r="D978" t="s">
        <v>29</v>
      </c>
      <c r="E978" s="10">
        <v>7298.1726666249997</v>
      </c>
      <c r="F978" t="s">
        <v>30</v>
      </c>
      <c r="G978" s="14">
        <v>46143</v>
      </c>
      <c r="H978">
        <v>10093</v>
      </c>
      <c r="I978">
        <v>7928354.29</v>
      </c>
      <c r="J978">
        <v>41828.499297000002</v>
      </c>
      <c r="K978" t="s">
        <v>329</v>
      </c>
      <c r="L978" s="9" t="s">
        <v>330</v>
      </c>
      <c r="M978" t="s">
        <v>50</v>
      </c>
      <c r="N978" s="12">
        <v>6809.2907721663432</v>
      </c>
      <c r="O978" s="13">
        <v>0.93301310933703396</v>
      </c>
      <c r="P978" s="9" t="s">
        <v>1180</v>
      </c>
      <c r="Q978">
        <v>313.99</v>
      </c>
      <c r="R978">
        <v>313.99</v>
      </c>
      <c r="S978" t="s">
        <v>39</v>
      </c>
      <c r="T978">
        <v>488.88189445865601</v>
      </c>
      <c r="U978">
        <v>2490568.6800000002</v>
      </c>
      <c r="V978">
        <v>3877811.1868460593</v>
      </c>
      <c r="W978" t="s">
        <v>30</v>
      </c>
      <c r="X978" t="s">
        <v>331</v>
      </c>
      <c r="Y978" t="s">
        <v>1181</v>
      </c>
      <c r="Z978" t="b">
        <v>0</v>
      </c>
      <c r="AA978" t="s">
        <v>44</v>
      </c>
      <c r="AB978" t="s">
        <v>36</v>
      </c>
      <c r="AC978" t="s">
        <v>187</v>
      </c>
    </row>
    <row r="979" spans="2:29" x14ac:dyDescent="0.35">
      <c r="B979" t="s">
        <v>1055</v>
      </c>
      <c r="C979">
        <v>512.65</v>
      </c>
      <c r="D979" t="s">
        <v>39</v>
      </c>
      <c r="E979" s="10">
        <v>798.19517562416002</v>
      </c>
      <c r="F979" t="s">
        <v>30</v>
      </c>
      <c r="G979" s="14">
        <v>46143</v>
      </c>
      <c r="H979">
        <v>103</v>
      </c>
      <c r="I979">
        <v>52802.95</v>
      </c>
      <c r="J979">
        <v>5747.6280638117096</v>
      </c>
      <c r="K979" t="s">
        <v>275</v>
      </c>
      <c r="L979" s="9" t="s">
        <v>276</v>
      </c>
      <c r="M979" t="s">
        <v>50</v>
      </c>
      <c r="N979" s="12">
        <v>669.13558700134399</v>
      </c>
      <c r="O979" s="13">
        <v>0.83831073832049152</v>
      </c>
      <c r="P979" s="9" t="s">
        <v>1055</v>
      </c>
      <c r="Q979">
        <v>82.89</v>
      </c>
      <c r="R979">
        <v>82.89</v>
      </c>
      <c r="S979" t="s">
        <v>39</v>
      </c>
      <c r="T979">
        <v>129.05958862281599</v>
      </c>
      <c r="U979">
        <v>752641.2</v>
      </c>
      <c r="V979">
        <v>1171861.0646951692</v>
      </c>
      <c r="W979" t="s">
        <v>30</v>
      </c>
      <c r="X979" t="s">
        <v>277</v>
      </c>
      <c r="Y979" t="s">
        <v>1056</v>
      </c>
      <c r="Z979" t="b">
        <v>0</v>
      </c>
      <c r="AA979" t="s">
        <v>44</v>
      </c>
      <c r="AB979" t="s">
        <v>45</v>
      </c>
      <c r="AC979" t="s">
        <v>610</v>
      </c>
    </row>
    <row r="980" spans="2:29" x14ac:dyDescent="0.35">
      <c r="B980" t="s">
        <v>545</v>
      </c>
      <c r="C980">
        <v>559.35</v>
      </c>
      <c r="D980" t="s">
        <v>29</v>
      </c>
      <c r="E980" s="10">
        <v>5196.7880043750001</v>
      </c>
      <c r="F980" t="s">
        <v>30</v>
      </c>
      <c r="G980" s="14">
        <v>46143</v>
      </c>
      <c r="H980">
        <v>19594</v>
      </c>
      <c r="I980">
        <v>10959903.9</v>
      </c>
      <c r="J980">
        <v>59633.781090124998</v>
      </c>
      <c r="K980" t="s">
        <v>329</v>
      </c>
      <c r="L980" s="9" t="s">
        <v>330</v>
      </c>
      <c r="M980" t="s">
        <v>50</v>
      </c>
      <c r="N980" s="12">
        <v>4045.4189056320884</v>
      </c>
      <c r="O980" s="13">
        <v>0.77844601361964105</v>
      </c>
      <c r="P980" s="9" t="s">
        <v>545</v>
      </c>
      <c r="Q980">
        <v>739.48</v>
      </c>
      <c r="R980">
        <v>739.48</v>
      </c>
      <c r="S980" t="s">
        <v>39</v>
      </c>
      <c r="T980">
        <v>1151.369098742912</v>
      </c>
      <c r="U980">
        <v>5811573.3200000003</v>
      </c>
      <c r="V980">
        <v>9048609.7470205463</v>
      </c>
      <c r="W980" t="s">
        <v>30</v>
      </c>
      <c r="X980" t="s">
        <v>331</v>
      </c>
      <c r="Y980" t="s">
        <v>546</v>
      </c>
      <c r="Z980" t="b">
        <v>0</v>
      </c>
      <c r="AA980" t="s">
        <v>44</v>
      </c>
      <c r="AB980" t="s">
        <v>36</v>
      </c>
      <c r="AC980" t="s">
        <v>273</v>
      </c>
    </row>
    <row r="981" spans="2:29" x14ac:dyDescent="0.35">
      <c r="B981" t="s">
        <v>745</v>
      </c>
      <c r="C981">
        <v>315.57</v>
      </c>
      <c r="D981" t="s">
        <v>29</v>
      </c>
      <c r="E981" s="10">
        <v>2931.885922125</v>
      </c>
      <c r="F981" t="s">
        <v>30</v>
      </c>
      <c r="G981" s="14">
        <v>46143</v>
      </c>
      <c r="H981">
        <v>1366</v>
      </c>
      <c r="I981">
        <v>431068.62</v>
      </c>
      <c r="J981">
        <v>8063.4527737500002</v>
      </c>
      <c r="K981" t="s">
        <v>329</v>
      </c>
      <c r="L981" s="9" t="s">
        <v>330</v>
      </c>
      <c r="M981" t="s">
        <v>50</v>
      </c>
      <c r="N981" s="12">
        <v>1490.1833514253199</v>
      </c>
      <c r="O981" s="13">
        <v>0.50826784909327261</v>
      </c>
      <c r="P981" s="9" t="s">
        <v>745</v>
      </c>
      <c r="Q981">
        <v>925.95</v>
      </c>
      <c r="R981">
        <v>925.95</v>
      </c>
      <c r="S981" t="s">
        <v>39</v>
      </c>
      <c r="T981">
        <v>1441.7025706996801</v>
      </c>
      <c r="U981">
        <v>1251884.4000000001</v>
      </c>
      <c r="V981">
        <v>1949181.8755859674</v>
      </c>
      <c r="W981" t="s">
        <v>30</v>
      </c>
      <c r="X981" t="s">
        <v>331</v>
      </c>
      <c r="Y981" t="s">
        <v>746</v>
      </c>
      <c r="Z981" t="b">
        <v>0</v>
      </c>
      <c r="AA981" t="s">
        <v>44</v>
      </c>
      <c r="AB981" t="s">
        <v>36</v>
      </c>
      <c r="AC981" t="s">
        <v>187</v>
      </c>
    </row>
    <row r="982" spans="2:29" x14ac:dyDescent="0.35">
      <c r="B982" t="s">
        <v>745</v>
      </c>
      <c r="C982">
        <v>952.66</v>
      </c>
      <c r="D982" t="s">
        <v>29</v>
      </c>
      <c r="E982" s="10">
        <v>8850.937803249999</v>
      </c>
      <c r="F982" t="s">
        <v>30</v>
      </c>
      <c r="G982" s="14">
        <v>46143</v>
      </c>
      <c r="H982">
        <v>374</v>
      </c>
      <c r="I982">
        <v>356294.83999999997</v>
      </c>
      <c r="J982">
        <v>8063.4527737500002</v>
      </c>
      <c r="K982" t="s">
        <v>329</v>
      </c>
      <c r="L982" s="9" t="s">
        <v>330</v>
      </c>
      <c r="M982" t="s">
        <v>50</v>
      </c>
      <c r="N982" s="12">
        <v>8082.6369948783195</v>
      </c>
      <c r="O982" s="13">
        <v>0.91319554769783096</v>
      </c>
      <c r="P982" s="9" t="s">
        <v>745</v>
      </c>
      <c r="Q982">
        <v>493.45</v>
      </c>
      <c r="R982">
        <v>493.45</v>
      </c>
      <c r="S982" t="s">
        <v>39</v>
      </c>
      <c r="T982">
        <v>768.30080837167998</v>
      </c>
      <c r="U982">
        <v>780637.9</v>
      </c>
      <c r="V982">
        <v>1215451.8788439978</v>
      </c>
      <c r="W982" t="s">
        <v>30</v>
      </c>
      <c r="X982" t="s">
        <v>331</v>
      </c>
      <c r="Y982" t="s">
        <v>746</v>
      </c>
      <c r="Z982" t="b">
        <v>0</v>
      </c>
      <c r="AA982" t="s">
        <v>44</v>
      </c>
      <c r="AB982" t="s">
        <v>36</v>
      </c>
      <c r="AC982" t="s">
        <v>187</v>
      </c>
    </row>
    <row r="983" spans="2:29" x14ac:dyDescent="0.35">
      <c r="B983" t="s">
        <v>1182</v>
      </c>
      <c r="C983">
        <v>427.4</v>
      </c>
      <c r="D983" t="s">
        <v>39</v>
      </c>
      <c r="E983" s="10">
        <v>665.46107102656003</v>
      </c>
      <c r="F983" t="s">
        <v>30</v>
      </c>
      <c r="G983" s="14">
        <v>46143</v>
      </c>
      <c r="H983">
        <v>7579</v>
      </c>
      <c r="I983">
        <v>3239264.5999999996</v>
      </c>
      <c r="J983">
        <v>611.402090244992</v>
      </c>
      <c r="K983" t="s">
        <v>1183</v>
      </c>
      <c r="L983" s="9" t="s">
        <v>1184</v>
      </c>
      <c r="M983" t="s">
        <v>50</v>
      </c>
      <c r="N983" s="12">
        <v>641.57671719046402</v>
      </c>
      <c r="O983" s="13">
        <v>0.96410856340664486</v>
      </c>
      <c r="P983" s="9" t="s">
        <v>1182</v>
      </c>
      <c r="Q983">
        <v>15.34</v>
      </c>
      <c r="R983">
        <v>15.34</v>
      </c>
      <c r="S983" t="s">
        <v>39</v>
      </c>
      <c r="T983">
        <v>23.884353836096</v>
      </c>
      <c r="U983">
        <v>65241.02</v>
      </c>
      <c r="V983">
        <v>101580.15686491629</v>
      </c>
      <c r="W983" t="s">
        <v>30</v>
      </c>
      <c r="X983" t="s">
        <v>1185</v>
      </c>
      <c r="Y983" t="s">
        <v>1186</v>
      </c>
      <c r="Z983" t="b">
        <v>0</v>
      </c>
      <c r="AB983" t="s">
        <v>45</v>
      </c>
      <c r="AC983" t="s">
        <v>306</v>
      </c>
    </row>
    <row r="984" spans="2:29" x14ac:dyDescent="0.35">
      <c r="B984" t="s">
        <v>1187</v>
      </c>
      <c r="C984">
        <v>966.85</v>
      </c>
      <c r="D984" t="s">
        <v>39</v>
      </c>
      <c r="E984" s="10">
        <v>1505.3838009406402</v>
      </c>
      <c r="F984" t="s">
        <v>30</v>
      </c>
      <c r="G984" s="14">
        <v>46143</v>
      </c>
      <c r="H984">
        <v>6969</v>
      </c>
      <c r="I984">
        <v>6737977.6500000004</v>
      </c>
      <c r="J984">
        <v>611.33981031321605</v>
      </c>
      <c r="K984" t="s">
        <v>1183</v>
      </c>
      <c r="L984" s="9" t="s">
        <v>1184</v>
      </c>
      <c r="M984" t="s">
        <v>50</v>
      </c>
      <c r="N984" s="12">
        <v>879.28364679651213</v>
      </c>
      <c r="O984" s="13">
        <v>0.58409267207943327</v>
      </c>
      <c r="P984" s="9" t="s">
        <v>1187</v>
      </c>
      <c r="Q984">
        <v>402.12</v>
      </c>
      <c r="R984">
        <v>402.12</v>
      </c>
      <c r="S984" t="s">
        <v>39</v>
      </c>
      <c r="T984">
        <v>626.10015414412806</v>
      </c>
      <c r="U984">
        <v>3117234.24</v>
      </c>
      <c r="V984">
        <v>4853528.3949252805</v>
      </c>
      <c r="W984" t="s">
        <v>30</v>
      </c>
      <c r="X984" t="s">
        <v>1185</v>
      </c>
      <c r="Y984" t="s">
        <v>1188</v>
      </c>
      <c r="Z984" t="b">
        <v>0</v>
      </c>
      <c r="AB984" t="s">
        <v>45</v>
      </c>
      <c r="AC984" t="s">
        <v>306</v>
      </c>
    </row>
    <row r="985" spans="2:29" x14ac:dyDescent="0.35">
      <c r="B985" t="s">
        <v>1187</v>
      </c>
      <c r="C985">
        <v>144.99</v>
      </c>
      <c r="D985" t="s">
        <v>39</v>
      </c>
      <c r="E985" s="10">
        <v>225.74918270505603</v>
      </c>
      <c r="F985" t="s">
        <v>30</v>
      </c>
      <c r="G985" s="14">
        <v>46143</v>
      </c>
      <c r="H985">
        <v>18359</v>
      </c>
      <c r="I985">
        <v>2661871.41</v>
      </c>
      <c r="J985">
        <v>229.25242886745599</v>
      </c>
      <c r="K985" t="s">
        <v>1183</v>
      </c>
      <c r="L985" s="9" t="s">
        <v>1184</v>
      </c>
      <c r="M985" t="s">
        <v>50</v>
      </c>
      <c r="N985" s="12">
        <v>178.26073472585603</v>
      </c>
      <c r="O985" s="13">
        <v>0.78964066487343954</v>
      </c>
      <c r="P985" s="9" t="s">
        <v>1187</v>
      </c>
      <c r="Q985">
        <v>30.5</v>
      </c>
      <c r="R985">
        <v>30.5</v>
      </c>
      <c r="S985" t="s">
        <v>39</v>
      </c>
      <c r="T985">
        <v>47.488447979200004</v>
      </c>
      <c r="U985">
        <v>160552</v>
      </c>
      <c r="V985">
        <v>249979.19016250881</v>
      </c>
      <c r="W985" t="s">
        <v>30</v>
      </c>
      <c r="X985" t="s">
        <v>1185</v>
      </c>
      <c r="Y985" t="s">
        <v>1188</v>
      </c>
      <c r="Z985" t="b">
        <v>0</v>
      </c>
      <c r="AB985" t="s">
        <v>45</v>
      </c>
      <c r="AC985" t="s">
        <v>306</v>
      </c>
    </row>
    <row r="986" spans="2:29" x14ac:dyDescent="0.35">
      <c r="B986" t="s">
        <v>814</v>
      </c>
      <c r="C986">
        <v>819.02</v>
      </c>
      <c r="D986" t="s">
        <v>71</v>
      </c>
      <c r="E986" s="10">
        <v>9115.1182413399893</v>
      </c>
      <c r="F986" t="s">
        <v>30</v>
      </c>
      <c r="G986" s="14">
        <v>46143</v>
      </c>
      <c r="H986">
        <v>11781</v>
      </c>
      <c r="I986">
        <v>9648874.6199999992</v>
      </c>
      <c r="J986">
        <v>1248.7073168889001</v>
      </c>
      <c r="K986" t="s">
        <v>811</v>
      </c>
      <c r="L986" s="9" t="s">
        <v>812</v>
      </c>
      <c r="M986" t="s">
        <v>50</v>
      </c>
      <c r="N986" s="12">
        <v>8242.6925143264343</v>
      </c>
      <c r="O986" s="13">
        <v>0.90428805157383219</v>
      </c>
      <c r="P986" s="9" t="s">
        <v>814</v>
      </c>
      <c r="Q986">
        <v>78.39</v>
      </c>
      <c r="R986">
        <v>78.39</v>
      </c>
      <c r="S986" t="s">
        <v>71</v>
      </c>
      <c r="T986">
        <v>872.42572701355505</v>
      </c>
      <c r="U986">
        <v>248653.08000000002</v>
      </c>
      <c r="V986">
        <v>2767334.4060869967</v>
      </c>
      <c r="W986" t="s">
        <v>30</v>
      </c>
      <c r="X986" t="s">
        <v>811</v>
      </c>
      <c r="Y986" t="s">
        <v>815</v>
      </c>
      <c r="Z986" t="b">
        <v>0</v>
      </c>
      <c r="AA986" t="s">
        <v>44</v>
      </c>
      <c r="AB986" t="s">
        <v>36</v>
      </c>
      <c r="AC986" t="s">
        <v>288</v>
      </c>
    </row>
    <row r="987" spans="2:29" x14ac:dyDescent="0.35">
      <c r="B987" t="s">
        <v>274</v>
      </c>
      <c r="C987">
        <v>918.84</v>
      </c>
      <c r="D987" t="s">
        <v>39</v>
      </c>
      <c r="E987" s="10">
        <v>1430.632312826496</v>
      </c>
      <c r="F987" t="s">
        <v>30</v>
      </c>
      <c r="G987" s="14">
        <v>46143</v>
      </c>
      <c r="H987">
        <v>11566</v>
      </c>
      <c r="I987">
        <v>10627303.439999999</v>
      </c>
      <c r="J987">
        <v>16823.366570991999</v>
      </c>
      <c r="K987" t="s">
        <v>275</v>
      </c>
      <c r="L987" s="9" t="s">
        <v>276</v>
      </c>
      <c r="M987" t="s">
        <v>50</v>
      </c>
      <c r="N987" s="12">
        <v>779.54233605724789</v>
      </c>
      <c r="O987" s="13">
        <v>0.54489356144704182</v>
      </c>
      <c r="P987" s="9" t="s">
        <v>274</v>
      </c>
      <c r="Q987">
        <v>418.17</v>
      </c>
      <c r="R987">
        <v>418.17</v>
      </c>
      <c r="S987" t="s">
        <v>39</v>
      </c>
      <c r="T987">
        <v>651.0899767692481</v>
      </c>
      <c r="U987">
        <v>4448074.29</v>
      </c>
      <c r="V987">
        <v>6925644.082894492</v>
      </c>
      <c r="W987" t="s">
        <v>30</v>
      </c>
      <c r="X987" t="s">
        <v>277</v>
      </c>
      <c r="Y987" t="s">
        <v>278</v>
      </c>
      <c r="Z987" t="b">
        <v>0</v>
      </c>
      <c r="AA987" t="s">
        <v>44</v>
      </c>
      <c r="AB987" t="s">
        <v>45</v>
      </c>
      <c r="AC987" t="s">
        <v>245</v>
      </c>
    </row>
    <row r="988" spans="2:29" x14ac:dyDescent="0.35">
      <c r="B988" t="s">
        <v>296</v>
      </c>
      <c r="C988">
        <v>69.650000000000006</v>
      </c>
      <c r="D988" t="s">
        <v>39</v>
      </c>
      <c r="E988" s="10">
        <v>108.44493120496001</v>
      </c>
      <c r="F988" t="s">
        <v>30</v>
      </c>
      <c r="G988" s="14">
        <v>46143</v>
      </c>
      <c r="H988">
        <v>2958</v>
      </c>
      <c r="I988">
        <v>206024.7</v>
      </c>
      <c r="J988">
        <v>783.35386788193932</v>
      </c>
      <c r="K988" t="s">
        <v>297</v>
      </c>
      <c r="L988" s="9" t="s">
        <v>298</v>
      </c>
      <c r="M988" t="s">
        <v>50</v>
      </c>
      <c r="N988" s="12">
        <v>88.717762814911978</v>
      </c>
      <c r="O988" s="13">
        <v>0.81809045226130628</v>
      </c>
      <c r="P988" s="9" t="s">
        <v>296</v>
      </c>
      <c r="Q988">
        <v>126.63</v>
      </c>
      <c r="R988">
        <v>126.63</v>
      </c>
      <c r="S988" t="s">
        <v>39</v>
      </c>
      <c r="T988">
        <v>197.16269401987199</v>
      </c>
      <c r="U988">
        <v>1105353.27</v>
      </c>
      <c r="V988">
        <v>1721033.1560994626</v>
      </c>
      <c r="W988" t="s">
        <v>30</v>
      </c>
      <c r="X988" t="s">
        <v>299</v>
      </c>
      <c r="Y988" t="s">
        <v>300</v>
      </c>
      <c r="Z988" t="b">
        <v>0</v>
      </c>
      <c r="AB988" t="s">
        <v>45</v>
      </c>
      <c r="AC988" t="s">
        <v>301</v>
      </c>
    </row>
    <row r="989" spans="2:29" x14ac:dyDescent="0.35">
      <c r="B989" t="s">
        <v>296</v>
      </c>
      <c r="C989">
        <v>918.16</v>
      </c>
      <c r="D989" t="s">
        <v>39</v>
      </c>
      <c r="E989" s="10">
        <v>1429.573553986304</v>
      </c>
      <c r="F989" t="s">
        <v>30</v>
      </c>
      <c r="G989" s="14">
        <v>46143</v>
      </c>
      <c r="H989">
        <v>632</v>
      </c>
      <c r="I989">
        <v>580277.12</v>
      </c>
      <c r="J989">
        <v>1151.3079087099422</v>
      </c>
      <c r="K989" t="s">
        <v>297</v>
      </c>
      <c r="L989" s="9" t="s">
        <v>298</v>
      </c>
      <c r="M989" t="s">
        <v>50</v>
      </c>
      <c r="N989" s="12">
        <v>1082.845603806368</v>
      </c>
      <c r="O989" s="13">
        <v>0.75746057332055416</v>
      </c>
      <c r="P989" s="9" t="s">
        <v>296</v>
      </c>
      <c r="Q989">
        <v>222.69</v>
      </c>
      <c r="R989">
        <v>222.69</v>
      </c>
      <c r="S989" t="s">
        <v>39</v>
      </c>
      <c r="T989">
        <v>346.72795017993599</v>
      </c>
      <c r="U989">
        <v>2468518.65</v>
      </c>
      <c r="V989">
        <v>3843479.3277445906</v>
      </c>
      <c r="W989" t="s">
        <v>30</v>
      </c>
      <c r="X989" t="s">
        <v>299</v>
      </c>
      <c r="Y989" t="s">
        <v>300</v>
      </c>
      <c r="Z989" t="b">
        <v>0</v>
      </c>
      <c r="AB989" t="s">
        <v>45</v>
      </c>
      <c r="AC989" t="s">
        <v>301</v>
      </c>
    </row>
    <row r="990" spans="2:29" x14ac:dyDescent="0.35">
      <c r="B990" t="s">
        <v>307</v>
      </c>
      <c r="C990">
        <v>678.27</v>
      </c>
      <c r="D990" t="s">
        <v>179</v>
      </c>
      <c r="E990" s="10">
        <v>678.27</v>
      </c>
      <c r="F990" t="s">
        <v>30</v>
      </c>
      <c r="G990" s="14">
        <v>46143</v>
      </c>
      <c r="H990">
        <v>8488</v>
      </c>
      <c r="I990">
        <v>5757155.7599999998</v>
      </c>
      <c r="J990">
        <v>650906.99999999988</v>
      </c>
      <c r="K990" t="s">
        <v>269</v>
      </c>
      <c r="L990" s="9" t="s">
        <v>270</v>
      </c>
      <c r="M990" t="s">
        <v>50</v>
      </c>
      <c r="N990" s="12">
        <v>660.45270350806391</v>
      </c>
      <c r="O990" s="13">
        <v>0.97373126263591769</v>
      </c>
      <c r="P990" s="9" t="s">
        <v>307</v>
      </c>
      <c r="Q990">
        <v>859.81</v>
      </c>
      <c r="R990">
        <v>859.81</v>
      </c>
      <c r="S990" t="s">
        <v>39</v>
      </c>
      <c r="T990">
        <v>1338.7227035080639</v>
      </c>
      <c r="U990">
        <v>13412176.189999999</v>
      </c>
      <c r="V990">
        <v>20882735.452022288</v>
      </c>
      <c r="W990" t="s">
        <v>30</v>
      </c>
      <c r="X990" t="s">
        <v>271</v>
      </c>
      <c r="Y990" t="s">
        <v>308</v>
      </c>
      <c r="Z990" t="b">
        <v>0</v>
      </c>
      <c r="AA990" t="s">
        <v>35</v>
      </c>
      <c r="AB990" t="s">
        <v>36</v>
      </c>
      <c r="AC990" t="s">
        <v>273</v>
      </c>
    </row>
    <row r="991" spans="2:29" x14ac:dyDescent="0.35">
      <c r="B991" t="s">
        <v>1083</v>
      </c>
      <c r="C991">
        <v>842.99</v>
      </c>
      <c r="D991" t="s">
        <v>39</v>
      </c>
      <c r="E991" s="10">
        <v>1312.5339921962561</v>
      </c>
      <c r="F991" t="s">
        <v>30</v>
      </c>
      <c r="G991" s="14">
        <v>46143</v>
      </c>
      <c r="H991">
        <v>18505</v>
      </c>
      <c r="I991">
        <v>15599529.949999999</v>
      </c>
      <c r="J991">
        <v>4983.9515403743999</v>
      </c>
      <c r="K991" t="s">
        <v>241</v>
      </c>
      <c r="L991" s="9" t="s">
        <v>242</v>
      </c>
      <c r="M991" t="s">
        <v>50</v>
      </c>
      <c r="N991" s="12">
        <v>800.96663258819217</v>
      </c>
      <c r="O991" s="13">
        <v>0.61024448688596555</v>
      </c>
      <c r="P991" s="9" t="s">
        <v>1083</v>
      </c>
      <c r="Q991">
        <v>328.56</v>
      </c>
      <c r="R991">
        <v>328.56</v>
      </c>
      <c r="S991" t="s">
        <v>39</v>
      </c>
      <c r="T991">
        <v>511.56735960806401</v>
      </c>
      <c r="U991">
        <v>5830954.3200000003</v>
      </c>
      <c r="V991">
        <v>9078785.9309643116</v>
      </c>
      <c r="W991" t="s">
        <v>30</v>
      </c>
      <c r="X991" t="s">
        <v>966</v>
      </c>
      <c r="Y991" t="s">
        <v>1084</v>
      </c>
      <c r="Z991" t="b">
        <v>0</v>
      </c>
      <c r="AB991" t="s">
        <v>45</v>
      </c>
      <c r="AC991" t="s">
        <v>968</v>
      </c>
    </row>
    <row r="992" spans="2:29" x14ac:dyDescent="0.35">
      <c r="B992" t="s">
        <v>240</v>
      </c>
      <c r="C992">
        <v>405.87</v>
      </c>
      <c r="D992" t="s">
        <v>39</v>
      </c>
      <c r="E992" s="10">
        <v>631.93889774812806</v>
      </c>
      <c r="F992" t="s">
        <v>30</v>
      </c>
      <c r="G992" s="14">
        <v>46143</v>
      </c>
      <c r="H992">
        <v>14719</v>
      </c>
      <c r="I992">
        <v>5974000.5300000003</v>
      </c>
      <c r="J992">
        <v>6729.0352287379201</v>
      </c>
      <c r="K992" t="s">
        <v>241</v>
      </c>
      <c r="L992" s="9" t="s">
        <v>242</v>
      </c>
      <c r="M992" t="s">
        <v>50</v>
      </c>
      <c r="N992" s="12">
        <v>626.64510354716799</v>
      </c>
      <c r="O992" s="13">
        <v>0.99162293345159769</v>
      </c>
      <c r="P992" s="9" t="s">
        <v>240</v>
      </c>
      <c r="Q992">
        <v>808.34</v>
      </c>
      <c r="R992">
        <v>808.34</v>
      </c>
      <c r="S992" t="s">
        <v>39</v>
      </c>
      <c r="T992">
        <v>1258.584001295296</v>
      </c>
      <c r="U992">
        <v>6849873.1600000001</v>
      </c>
      <c r="V992">
        <v>10665240.826976338</v>
      </c>
      <c r="W992" t="s">
        <v>30</v>
      </c>
      <c r="X992" t="s">
        <v>966</v>
      </c>
      <c r="Y992" t="s">
        <v>244</v>
      </c>
      <c r="Z992" t="b">
        <v>0</v>
      </c>
      <c r="AB992" t="s">
        <v>45</v>
      </c>
      <c r="AC992" t="s">
        <v>245</v>
      </c>
    </row>
    <row r="993" spans="2:29" x14ac:dyDescent="0.35">
      <c r="B993" t="s">
        <v>1189</v>
      </c>
      <c r="C993">
        <v>753.74</v>
      </c>
      <c r="D993" t="s">
        <v>71</v>
      </c>
      <c r="E993" s="10">
        <v>8388.5976206046307</v>
      </c>
      <c r="F993" t="s">
        <v>30</v>
      </c>
      <c r="G993" s="14">
        <v>46143</v>
      </c>
      <c r="H993">
        <v>15107</v>
      </c>
      <c r="I993">
        <v>11386750.18</v>
      </c>
      <c r="J993">
        <v>11164.912480418399</v>
      </c>
      <c r="K993" t="s">
        <v>948</v>
      </c>
      <c r="L993" s="9" t="s">
        <v>949</v>
      </c>
      <c r="M993" t="s">
        <v>50</v>
      </c>
      <c r="N993" s="12">
        <v>7122.4466075985511</v>
      </c>
      <c r="O993" s="13">
        <v>0.84906285051793695</v>
      </c>
      <c r="P993" s="9" t="s">
        <v>1189</v>
      </c>
      <c r="Q993">
        <v>813.2</v>
      </c>
      <c r="R993">
        <v>813.2</v>
      </c>
      <c r="S993" t="s">
        <v>39</v>
      </c>
      <c r="T993">
        <v>1266.1510130060801</v>
      </c>
      <c r="U993">
        <v>14893758</v>
      </c>
      <c r="V993">
        <v>23189555.803206358</v>
      </c>
      <c r="W993" t="s">
        <v>30</v>
      </c>
      <c r="X993" t="s">
        <v>950</v>
      </c>
      <c r="Y993" t="s">
        <v>1190</v>
      </c>
      <c r="Z993" t="b">
        <v>0</v>
      </c>
      <c r="AA993" t="s">
        <v>44</v>
      </c>
      <c r="AB993" t="s">
        <v>36</v>
      </c>
      <c r="AC993" t="s">
        <v>251</v>
      </c>
    </row>
    <row r="994" spans="2:29" x14ac:dyDescent="0.35">
      <c r="B994" t="s">
        <v>1189</v>
      </c>
      <c r="C994">
        <v>320.69</v>
      </c>
      <c r="D994" t="s">
        <v>71</v>
      </c>
      <c r="E994" s="10">
        <v>3569.0548079599048</v>
      </c>
      <c r="F994" t="s">
        <v>30</v>
      </c>
      <c r="G994" s="14">
        <v>46143</v>
      </c>
      <c r="H994">
        <v>8169</v>
      </c>
      <c r="I994">
        <v>2619716.61</v>
      </c>
      <c r="J994">
        <v>11164.912480418399</v>
      </c>
      <c r="K994" t="s">
        <v>948</v>
      </c>
      <c r="L994" s="9" t="s">
        <v>949</v>
      </c>
      <c r="M994" t="s">
        <v>50</v>
      </c>
      <c r="N994" s="12">
        <v>3060.4768850770888</v>
      </c>
      <c r="O994" s="13">
        <v>0.85750347073725031</v>
      </c>
      <c r="P994" s="9" t="s">
        <v>1189</v>
      </c>
      <c r="Q994">
        <v>326.64</v>
      </c>
      <c r="R994">
        <v>326.64</v>
      </c>
      <c r="S994" t="s">
        <v>39</v>
      </c>
      <c r="T994">
        <v>508.57792288281598</v>
      </c>
      <c r="U994">
        <v>3494721.36</v>
      </c>
      <c r="V994">
        <v>5441275.1969232485</v>
      </c>
      <c r="W994" t="s">
        <v>30</v>
      </c>
      <c r="X994" t="s">
        <v>950</v>
      </c>
      <c r="Y994" t="s">
        <v>1190</v>
      </c>
      <c r="Z994" t="b">
        <v>0</v>
      </c>
      <c r="AA994" t="s">
        <v>44</v>
      </c>
      <c r="AB994" t="s">
        <v>36</v>
      </c>
      <c r="AC994" t="s">
        <v>251</v>
      </c>
    </row>
    <row r="995" spans="2:29" x14ac:dyDescent="0.35">
      <c r="B995" t="s">
        <v>1150</v>
      </c>
      <c r="C995">
        <v>580.45000000000005</v>
      </c>
      <c r="D995" t="s">
        <v>39</v>
      </c>
      <c r="E995" s="10">
        <v>903.75965998448009</v>
      </c>
      <c r="F995" t="s">
        <v>30</v>
      </c>
      <c r="G995" s="14">
        <v>46143</v>
      </c>
      <c r="H995">
        <v>9457</v>
      </c>
      <c r="I995">
        <v>5489315.6500000004</v>
      </c>
      <c r="J995">
        <v>10646.754337107201</v>
      </c>
      <c r="K995" t="s">
        <v>927</v>
      </c>
      <c r="L995" s="9" t="s">
        <v>928</v>
      </c>
      <c r="M995" t="s">
        <v>50</v>
      </c>
      <c r="N995" s="12">
        <v>412.86923772604791</v>
      </c>
      <c r="O995" s="13">
        <v>0.45683521405805827</v>
      </c>
      <c r="P995" s="9" t="s">
        <v>1150</v>
      </c>
      <c r="Q995">
        <v>845.62</v>
      </c>
      <c r="R995">
        <v>845.62</v>
      </c>
      <c r="S995" t="s">
        <v>39</v>
      </c>
      <c r="T995">
        <v>1316.628897710528</v>
      </c>
      <c r="U995">
        <v>6107067.6399999997</v>
      </c>
      <c r="V995">
        <v>9508693.8992654327</v>
      </c>
      <c r="W995" t="s">
        <v>30</v>
      </c>
      <c r="X995" t="s">
        <v>929</v>
      </c>
      <c r="Y995" t="s">
        <v>1151</v>
      </c>
      <c r="Z995" t="b">
        <v>0</v>
      </c>
      <c r="AA995" t="s">
        <v>44</v>
      </c>
      <c r="AB995" t="s">
        <v>45</v>
      </c>
      <c r="AC995" t="s">
        <v>245</v>
      </c>
    </row>
    <row r="996" spans="2:29" x14ac:dyDescent="0.35">
      <c r="B996" t="s">
        <v>1150</v>
      </c>
      <c r="C996">
        <v>335.38</v>
      </c>
      <c r="D996" t="s">
        <v>39</v>
      </c>
      <c r="E996" s="10">
        <v>522.18608797587206</v>
      </c>
      <c r="F996" t="s">
        <v>30</v>
      </c>
      <c r="G996" s="14">
        <v>46143</v>
      </c>
      <c r="H996">
        <v>11917</v>
      </c>
      <c r="I996">
        <v>3996723.46</v>
      </c>
      <c r="J996">
        <v>2129.3508674214399</v>
      </c>
      <c r="K996" t="s">
        <v>927</v>
      </c>
      <c r="L996" s="9" t="s">
        <v>928</v>
      </c>
      <c r="M996" t="s">
        <v>50</v>
      </c>
      <c r="N996" s="12">
        <v>906.14186737491207</v>
      </c>
      <c r="O996" s="13">
        <v>1.735285347963504</v>
      </c>
      <c r="P996" s="9" t="s">
        <v>1150</v>
      </c>
      <c r="Q996">
        <v>917.36</v>
      </c>
      <c r="R996">
        <v>917.36</v>
      </c>
      <c r="S996" t="s">
        <v>39</v>
      </c>
      <c r="T996">
        <v>1428.3279553507841</v>
      </c>
      <c r="U996">
        <v>2914452.72</v>
      </c>
      <c r="V996">
        <v>4537797.9141494408</v>
      </c>
      <c r="W996" t="s">
        <v>30</v>
      </c>
      <c r="X996" t="s">
        <v>929</v>
      </c>
      <c r="Y996" t="s">
        <v>1151</v>
      </c>
      <c r="Z996" t="b">
        <v>0</v>
      </c>
      <c r="AA996" t="s">
        <v>44</v>
      </c>
      <c r="AB996" t="s">
        <v>45</v>
      </c>
      <c r="AC996" t="s">
        <v>245</v>
      </c>
    </row>
    <row r="997" spans="2:29" x14ac:dyDescent="0.35">
      <c r="B997" s="9" t="s">
        <v>60</v>
      </c>
      <c r="C997">
        <v>471.04</v>
      </c>
      <c r="D997" t="s">
        <v>29</v>
      </c>
      <c r="E997" s="10">
        <v>4376.3207679999996</v>
      </c>
      <c r="F997" t="s">
        <v>30</v>
      </c>
      <c r="G997" s="14">
        <v>46023</v>
      </c>
      <c r="H997">
        <v>17004</v>
      </c>
      <c r="I997">
        <v>8009564.1600000001</v>
      </c>
      <c r="J997">
        <v>162328.20240000001</v>
      </c>
      <c r="K997" s="9" t="s">
        <v>54</v>
      </c>
      <c r="L997" s="9" t="s">
        <v>55</v>
      </c>
      <c r="M997" s="9" t="s">
        <v>56</v>
      </c>
      <c r="N997" s="12">
        <v>902.00025191180816</v>
      </c>
      <c r="O997" s="13">
        <v>0.58276413604402022</v>
      </c>
      <c r="P997" s="9" t="s">
        <v>1191</v>
      </c>
      <c r="Q997">
        <v>414.77</v>
      </c>
      <c r="R997">
        <v>414.77</v>
      </c>
      <c r="S997" t="s">
        <v>39</v>
      </c>
      <c r="T997">
        <v>645.79618256828803</v>
      </c>
      <c r="U997">
        <v>1852362.8199999998</v>
      </c>
      <c r="V997">
        <v>2884125.7513499744</v>
      </c>
      <c r="W997" t="s">
        <v>30</v>
      </c>
      <c r="X997" t="s">
        <v>929</v>
      </c>
      <c r="Y997" t="s">
        <v>1192</v>
      </c>
      <c r="Z997" t="b">
        <v>0</v>
      </c>
      <c r="AA997" t="s">
        <v>44</v>
      </c>
      <c r="AB997" t="s">
        <v>45</v>
      </c>
      <c r="AC997" t="s">
        <v>245</v>
      </c>
    </row>
    <row r="998" spans="2:29" x14ac:dyDescent="0.35">
      <c r="B998" s="9" t="s">
        <v>60</v>
      </c>
      <c r="C998">
        <v>471.04</v>
      </c>
      <c r="D998" t="s">
        <v>29</v>
      </c>
      <c r="E998" s="10">
        <v>4376.3207679999996</v>
      </c>
      <c r="F998" t="s">
        <v>30</v>
      </c>
      <c r="G998" s="14">
        <v>46023</v>
      </c>
      <c r="H998">
        <v>17004</v>
      </c>
      <c r="I998">
        <v>8009564.1600000001</v>
      </c>
      <c r="J998">
        <v>162328.20240000001</v>
      </c>
      <c r="K998" s="9" t="s">
        <v>54</v>
      </c>
      <c r="L998" s="9" t="s">
        <v>55</v>
      </c>
      <c r="M998" s="9" t="s">
        <v>56</v>
      </c>
      <c r="N998" s="12">
        <v>552.08045522835198</v>
      </c>
      <c r="O998" s="13">
        <v>0.89805739178887123</v>
      </c>
      <c r="P998" s="9" t="s">
        <v>1193</v>
      </c>
      <c r="Q998">
        <v>749.41</v>
      </c>
      <c r="R998">
        <v>7.4940999999999995</v>
      </c>
      <c r="S998" t="s">
        <v>39</v>
      </c>
      <c r="T998">
        <v>1166.8300918063039</v>
      </c>
      <c r="U998">
        <v>11160963.129999999</v>
      </c>
      <c r="V998">
        <v>17377600.557271283</v>
      </c>
      <c r="W998" t="s">
        <v>249</v>
      </c>
      <c r="X998" t="s">
        <v>1194</v>
      </c>
      <c r="Y998" t="s">
        <v>1195</v>
      </c>
      <c r="Z998" t="b">
        <v>0</v>
      </c>
      <c r="AA998" t="s">
        <v>565</v>
      </c>
      <c r="AB998" t="s">
        <v>45</v>
      </c>
      <c r="AC998" t="s">
        <v>251</v>
      </c>
    </row>
    <row r="999" spans="2:29" x14ac:dyDescent="0.35">
      <c r="B999" s="9" t="s">
        <v>60</v>
      </c>
      <c r="C999">
        <v>471.04</v>
      </c>
      <c r="D999" t="s">
        <v>29</v>
      </c>
      <c r="E999" s="10">
        <v>4376.3207679999996</v>
      </c>
      <c r="F999" t="s">
        <v>30</v>
      </c>
      <c r="G999" s="14">
        <v>46023</v>
      </c>
      <c r="H999">
        <v>17004</v>
      </c>
      <c r="I999">
        <v>8009564.1600000001</v>
      </c>
      <c r="J999">
        <v>162328.20240000001</v>
      </c>
      <c r="K999" s="9" t="s">
        <v>54</v>
      </c>
      <c r="L999" s="9" t="s">
        <v>55</v>
      </c>
      <c r="M999" s="9" t="s">
        <v>56</v>
      </c>
      <c r="N999" s="12">
        <v>5633.8148541070477</v>
      </c>
      <c r="O999" s="13">
        <v>0.91443435995288114</v>
      </c>
      <c r="P999" s="9" t="s">
        <v>1196</v>
      </c>
      <c r="Q999">
        <v>338.58</v>
      </c>
      <c r="R999">
        <v>338.58</v>
      </c>
      <c r="S999" t="s">
        <v>39</v>
      </c>
      <c r="T999">
        <v>527.16848251795204</v>
      </c>
      <c r="U999">
        <v>883016.64</v>
      </c>
      <c r="V999">
        <v>1374855.4024068189</v>
      </c>
      <c r="W999" t="s">
        <v>30</v>
      </c>
      <c r="X999" t="s">
        <v>1197</v>
      </c>
      <c r="Y999" t="s">
        <v>422</v>
      </c>
      <c r="Z999" t="b">
        <v>0</v>
      </c>
      <c r="AA999" t="s">
        <v>35</v>
      </c>
      <c r="AB999" t="s">
        <v>36</v>
      </c>
      <c r="AC999" t="s">
        <v>423</v>
      </c>
    </row>
    <row r="1000" spans="2:29" x14ac:dyDescent="0.35">
      <c r="B1000" s="9" t="s">
        <v>60</v>
      </c>
      <c r="C1000">
        <v>471.04</v>
      </c>
      <c r="D1000" t="s">
        <v>29</v>
      </c>
      <c r="E1000" s="10">
        <v>4376.3207679999996</v>
      </c>
      <c r="F1000" t="s">
        <v>30</v>
      </c>
      <c r="G1000" s="14">
        <v>46054</v>
      </c>
      <c r="H1000">
        <v>17004</v>
      </c>
      <c r="I1000">
        <v>8009564.1600000001</v>
      </c>
      <c r="J1000">
        <v>162328.20240000001</v>
      </c>
      <c r="K1000" s="9" t="s">
        <v>54</v>
      </c>
      <c r="L1000" s="9" t="s">
        <v>55</v>
      </c>
      <c r="M1000" s="9" t="s">
        <v>56</v>
      </c>
      <c r="N1000" s="12">
        <v>468.34508695551995</v>
      </c>
      <c r="O1000" s="13">
        <v>0.56502056840167547</v>
      </c>
      <c r="P1000" s="9" t="s">
        <v>563</v>
      </c>
      <c r="Q1000">
        <v>833.17</v>
      </c>
      <c r="R1000">
        <v>8.3316999999999997</v>
      </c>
      <c r="S1000" t="s">
        <v>39</v>
      </c>
      <c r="T1000">
        <v>1297.244268945248</v>
      </c>
      <c r="U1000">
        <v>13072437.299999999</v>
      </c>
      <c r="V1000">
        <v>20353762.57975094</v>
      </c>
      <c r="W1000" t="s">
        <v>249</v>
      </c>
      <c r="X1000" t="s">
        <v>317</v>
      </c>
      <c r="Y1000" t="s">
        <v>564</v>
      </c>
      <c r="Z1000" t="b">
        <v>0</v>
      </c>
      <c r="AA1000" t="s">
        <v>565</v>
      </c>
      <c r="AB1000" t="s">
        <v>45</v>
      </c>
      <c r="AC1000" t="s">
        <v>251</v>
      </c>
    </row>
    <row r="1001" spans="2:29" x14ac:dyDescent="0.35">
      <c r="B1001" s="9" t="s">
        <v>60</v>
      </c>
      <c r="C1001">
        <v>471.04</v>
      </c>
      <c r="D1001" t="s">
        <v>29</v>
      </c>
      <c r="E1001" s="10">
        <v>4376.3207679999996</v>
      </c>
      <c r="F1001" t="s">
        <v>30</v>
      </c>
      <c r="G1001" s="14">
        <v>46054</v>
      </c>
      <c r="H1001">
        <v>17004</v>
      </c>
      <c r="I1001">
        <v>8009564.1600000001</v>
      </c>
      <c r="J1001">
        <v>162328.20240000001</v>
      </c>
      <c r="K1001" s="9" t="s">
        <v>54</v>
      </c>
      <c r="L1001" s="9" t="s">
        <v>55</v>
      </c>
      <c r="M1001" s="9" t="s">
        <v>56</v>
      </c>
      <c r="N1001" s="12">
        <v>730.34118995420818</v>
      </c>
      <c r="O1001" s="13">
        <v>2.2372889440045793</v>
      </c>
      <c r="P1001" s="9" t="s">
        <v>563</v>
      </c>
      <c r="Q1001">
        <v>678.73</v>
      </c>
      <c r="R1001">
        <v>6.7873000000000001</v>
      </c>
      <c r="S1001" t="s">
        <v>39</v>
      </c>
      <c r="T1001">
        <v>1056.7814523581121</v>
      </c>
      <c r="U1001">
        <v>13397451.470000001</v>
      </c>
      <c r="V1001">
        <v>20859809.088096775</v>
      </c>
      <c r="W1001" t="s">
        <v>249</v>
      </c>
      <c r="X1001" t="s">
        <v>317</v>
      </c>
      <c r="Y1001" t="s">
        <v>564</v>
      </c>
      <c r="Z1001" t="b">
        <v>0</v>
      </c>
      <c r="AA1001" t="s">
        <v>565</v>
      </c>
      <c r="AB1001" t="s">
        <v>45</v>
      </c>
      <c r="AC1001" t="s">
        <v>251</v>
      </c>
    </row>
    <row r="1002" spans="2:29" x14ac:dyDescent="0.35">
      <c r="B1002" s="9" t="s">
        <v>60</v>
      </c>
      <c r="C1002">
        <v>471.04</v>
      </c>
      <c r="D1002" t="s">
        <v>29</v>
      </c>
      <c r="E1002" s="10">
        <v>4376.3207679999996</v>
      </c>
      <c r="F1002" t="s">
        <v>30</v>
      </c>
      <c r="G1002" s="14">
        <v>46054</v>
      </c>
      <c r="H1002">
        <v>17004</v>
      </c>
      <c r="I1002">
        <v>8009564.1600000001</v>
      </c>
      <c r="J1002">
        <v>162328.20240000001</v>
      </c>
      <c r="K1002" s="9" t="s">
        <v>54</v>
      </c>
      <c r="L1002" s="9" t="s">
        <v>55</v>
      </c>
      <c r="M1002" s="9" t="s">
        <v>56</v>
      </c>
      <c r="N1002" s="12">
        <v>889.55983553955195</v>
      </c>
      <c r="O1002" s="13">
        <v>1.6452987760979119</v>
      </c>
      <c r="P1002" s="9" t="s">
        <v>563</v>
      </c>
      <c r="Q1002">
        <v>918.58</v>
      </c>
      <c r="R1002">
        <v>9.1858000000000004</v>
      </c>
      <c r="S1002" t="s">
        <v>39</v>
      </c>
      <c r="T1002">
        <v>1430.227493269952</v>
      </c>
      <c r="U1002">
        <v>6844339.5800000001</v>
      </c>
      <c r="V1002">
        <v>10656625.052354412</v>
      </c>
      <c r="W1002" t="s">
        <v>249</v>
      </c>
      <c r="X1002" t="s">
        <v>317</v>
      </c>
      <c r="Y1002" t="s">
        <v>564</v>
      </c>
      <c r="Z1002" t="b">
        <v>0</v>
      </c>
      <c r="AA1002" t="s">
        <v>565</v>
      </c>
      <c r="AB1002" t="s">
        <v>45</v>
      </c>
      <c r="AC1002" t="s">
        <v>251</v>
      </c>
    </row>
    <row r="1003" spans="2:29" x14ac:dyDescent="0.35">
      <c r="B1003" s="9" t="s">
        <v>60</v>
      </c>
      <c r="C1003">
        <v>471.04</v>
      </c>
      <c r="D1003" t="s">
        <v>29</v>
      </c>
      <c r="E1003" s="10">
        <v>4376.3207679999996</v>
      </c>
      <c r="F1003" t="s">
        <v>30</v>
      </c>
      <c r="G1003" s="14">
        <v>46082</v>
      </c>
      <c r="H1003">
        <v>17004</v>
      </c>
      <c r="I1003">
        <v>8009564.1600000001</v>
      </c>
      <c r="J1003">
        <v>162328.20240000001</v>
      </c>
      <c r="K1003" s="9" t="s">
        <v>54</v>
      </c>
      <c r="L1003" s="9" t="s">
        <v>55</v>
      </c>
      <c r="M1003" s="9" t="s">
        <v>56</v>
      </c>
      <c r="N1003" s="12">
        <v>906.45326703379214</v>
      </c>
      <c r="O1003" s="13">
        <v>0.65829168456998133</v>
      </c>
      <c r="P1003" s="9" t="s">
        <v>563</v>
      </c>
      <c r="Q1003">
        <v>302.2</v>
      </c>
      <c r="R1003">
        <v>3.0219999999999998</v>
      </c>
      <c r="S1003" t="s">
        <v>39</v>
      </c>
      <c r="T1003">
        <v>470.52488456767998</v>
      </c>
      <c r="U1003">
        <v>4113546.4</v>
      </c>
      <c r="V1003">
        <v>6404784.7287352597</v>
      </c>
      <c r="W1003" t="s">
        <v>249</v>
      </c>
      <c r="X1003" t="s">
        <v>317</v>
      </c>
      <c r="Y1003" t="s">
        <v>564</v>
      </c>
      <c r="Z1003" t="b">
        <v>0</v>
      </c>
      <c r="AA1003" t="s">
        <v>565</v>
      </c>
      <c r="AB1003" t="s">
        <v>45</v>
      </c>
      <c r="AC1003" t="s">
        <v>251</v>
      </c>
    </row>
    <row r="1004" spans="2:29" x14ac:dyDescent="0.35">
      <c r="B1004" s="9" t="s">
        <v>60</v>
      </c>
      <c r="C1004">
        <v>471.04</v>
      </c>
      <c r="D1004" t="s">
        <v>29</v>
      </c>
      <c r="E1004" s="10">
        <v>4376.3207679999996</v>
      </c>
      <c r="F1004" t="s">
        <v>30</v>
      </c>
      <c r="G1004" s="14">
        <v>46082</v>
      </c>
      <c r="H1004">
        <v>17004</v>
      </c>
      <c r="I1004">
        <v>8009564.1600000001</v>
      </c>
      <c r="J1004">
        <v>162328.20240000001</v>
      </c>
      <c r="K1004" s="9" t="s">
        <v>54</v>
      </c>
      <c r="L1004" s="9" t="s">
        <v>55</v>
      </c>
      <c r="M1004" s="9" t="s">
        <v>56</v>
      </c>
      <c r="N1004" s="12">
        <v>116.72816213116802</v>
      </c>
      <c r="O1004" s="13">
        <v>0.51240516711092887</v>
      </c>
      <c r="P1004" s="9" t="s">
        <v>926</v>
      </c>
      <c r="Q1004">
        <v>71.34</v>
      </c>
      <c r="R1004">
        <v>71.34</v>
      </c>
      <c r="S1004" t="s">
        <v>39</v>
      </c>
      <c r="T1004">
        <v>111.076258322496</v>
      </c>
      <c r="U1004">
        <v>779104.14</v>
      </c>
      <c r="V1004">
        <v>1213063.8171399788</v>
      </c>
      <c r="W1004" t="s">
        <v>30</v>
      </c>
      <c r="X1004" t="s">
        <v>929</v>
      </c>
      <c r="Y1004" t="s">
        <v>930</v>
      </c>
      <c r="Z1004" t="b">
        <v>0</v>
      </c>
      <c r="AA1004" t="s">
        <v>44</v>
      </c>
      <c r="AB1004" t="s">
        <v>45</v>
      </c>
      <c r="AC1004" t="s">
        <v>245</v>
      </c>
    </row>
    <row r="1005" spans="2:29" x14ac:dyDescent="0.35">
      <c r="B1005" s="9" t="s">
        <v>60</v>
      </c>
      <c r="C1005">
        <v>471.04</v>
      </c>
      <c r="D1005" t="s">
        <v>29</v>
      </c>
      <c r="E1005" s="10">
        <v>4376.3207679999996</v>
      </c>
      <c r="F1005" t="s">
        <v>30</v>
      </c>
      <c r="G1005" s="14">
        <v>46082</v>
      </c>
      <c r="H1005">
        <v>17004</v>
      </c>
      <c r="I1005">
        <v>8009564.1600000001</v>
      </c>
      <c r="J1005">
        <v>162328.20240000001</v>
      </c>
      <c r="K1005" s="9" t="s">
        <v>54</v>
      </c>
      <c r="L1005" s="9" t="s">
        <v>55</v>
      </c>
      <c r="M1005" s="9" t="s">
        <v>56</v>
      </c>
      <c r="N1005" s="12">
        <v>809.14087363379213</v>
      </c>
      <c r="O1005" s="13">
        <v>0.52179326271399173</v>
      </c>
      <c r="P1005" s="9" t="s">
        <v>1137</v>
      </c>
      <c r="Q1005">
        <v>476.27</v>
      </c>
      <c r="R1005">
        <v>0.47626999999999997</v>
      </c>
      <c r="S1005" t="s">
        <v>39</v>
      </c>
      <c r="T1005">
        <v>741.551577673888</v>
      </c>
      <c r="U1005">
        <v>6696832.4699999997</v>
      </c>
      <c r="V1005">
        <v>10426956.733672539</v>
      </c>
      <c r="W1005" t="s">
        <v>352</v>
      </c>
      <c r="X1005" t="s">
        <v>476</v>
      </c>
      <c r="Y1005" t="s">
        <v>1138</v>
      </c>
      <c r="Z1005" t="b">
        <v>0</v>
      </c>
      <c r="AA1005" t="s">
        <v>44</v>
      </c>
      <c r="AB1005" t="s">
        <v>45</v>
      </c>
      <c r="AC1005" t="s">
        <v>434</v>
      </c>
    </row>
    <row r="1006" spans="2:29" x14ac:dyDescent="0.35">
      <c r="B1006" s="9" t="s">
        <v>60</v>
      </c>
      <c r="C1006">
        <v>471.04</v>
      </c>
      <c r="D1006" t="s">
        <v>29</v>
      </c>
      <c r="E1006" s="10">
        <v>4376.3207679999996</v>
      </c>
      <c r="F1006" t="s">
        <v>30</v>
      </c>
      <c r="G1006" s="14">
        <v>46082</v>
      </c>
      <c r="H1006">
        <v>17004</v>
      </c>
      <c r="I1006">
        <v>8009564.1600000001</v>
      </c>
      <c r="J1006">
        <v>162328.20240000001</v>
      </c>
      <c r="K1006" s="9" t="s">
        <v>54</v>
      </c>
      <c r="L1006" s="9" t="s">
        <v>55</v>
      </c>
      <c r="M1006" s="9" t="s">
        <v>56</v>
      </c>
      <c r="N1006" s="12">
        <v>368.198956659712</v>
      </c>
      <c r="O1006" s="13">
        <v>12.004060913705583</v>
      </c>
      <c r="P1006" s="9" t="s">
        <v>1178</v>
      </c>
      <c r="Q1006">
        <v>256.18</v>
      </c>
      <c r="R1006">
        <v>2.5617999999999999</v>
      </c>
      <c r="S1006" t="s">
        <v>39</v>
      </c>
      <c r="T1006">
        <v>398.871823059392</v>
      </c>
      <c r="U1006">
        <v>1518891.22</v>
      </c>
      <c r="V1006">
        <v>2364911.038919135</v>
      </c>
      <c r="W1006" t="s">
        <v>249</v>
      </c>
      <c r="X1006" t="s">
        <v>987</v>
      </c>
      <c r="Y1006" t="s">
        <v>1179</v>
      </c>
      <c r="Z1006" t="b">
        <v>0</v>
      </c>
      <c r="AA1006" t="s">
        <v>44</v>
      </c>
      <c r="AB1006" t="s">
        <v>45</v>
      </c>
      <c r="AC1006" t="s">
        <v>251</v>
      </c>
    </row>
    <row r="1007" spans="2:29" x14ac:dyDescent="0.35">
      <c r="B1007" s="9" t="s">
        <v>60</v>
      </c>
      <c r="C1007">
        <v>471.04</v>
      </c>
      <c r="D1007" t="s">
        <v>29</v>
      </c>
      <c r="E1007" s="10">
        <v>4376.3207679999996</v>
      </c>
      <c r="F1007" t="s">
        <v>30</v>
      </c>
      <c r="G1007" s="14">
        <v>46054</v>
      </c>
      <c r="H1007">
        <v>17004</v>
      </c>
      <c r="I1007">
        <v>8009564.1600000001</v>
      </c>
      <c r="J1007">
        <v>162328.20240000001</v>
      </c>
      <c r="K1007" s="9" t="s">
        <v>54</v>
      </c>
      <c r="L1007" s="9" t="s">
        <v>55</v>
      </c>
      <c r="M1007" s="9" t="s">
        <v>56</v>
      </c>
      <c r="N1007" s="12">
        <v>504.529727317376</v>
      </c>
      <c r="O1007" s="13">
        <v>0.34316819520047442</v>
      </c>
      <c r="P1007" s="9" t="s">
        <v>1055</v>
      </c>
      <c r="Q1007">
        <v>620.22</v>
      </c>
      <c r="R1007">
        <v>620.22</v>
      </c>
      <c r="S1007" t="s">
        <v>39</v>
      </c>
      <c r="T1007">
        <v>965.68148215276801</v>
      </c>
      <c r="U1007">
        <v>1669012.02</v>
      </c>
      <c r="V1007">
        <v>2598648.8684730986</v>
      </c>
      <c r="W1007" t="s">
        <v>30</v>
      </c>
      <c r="X1007" t="s">
        <v>277</v>
      </c>
      <c r="Y1007" t="s">
        <v>1056</v>
      </c>
      <c r="Z1007" t="b">
        <v>0</v>
      </c>
      <c r="AA1007" t="s">
        <v>44</v>
      </c>
      <c r="AB1007" t="s">
        <v>45</v>
      </c>
      <c r="AC1007" t="s">
        <v>610</v>
      </c>
    </row>
    <row r="10633" spans="7:15" x14ac:dyDescent="0.35">
      <c r="G10633" s="15"/>
      <c r="N10633" s="10"/>
      <c r="O10633" s="16"/>
    </row>
    <row r="10634" spans="7:15" x14ac:dyDescent="0.35">
      <c r="G10634" s="15"/>
      <c r="N10634" s="10"/>
      <c r="O10634" s="16"/>
    </row>
    <row r="10635" spans="7:15" x14ac:dyDescent="0.35">
      <c r="G10635" s="15"/>
      <c r="N10635" s="10"/>
      <c r="O10635" s="16"/>
    </row>
    <row r="10636" spans="7:15" x14ac:dyDescent="0.35">
      <c r="G10636" s="15"/>
      <c r="N10636" s="10"/>
      <c r="O10636" s="16"/>
    </row>
    <row r="10637" spans="7:15" x14ac:dyDescent="0.35">
      <c r="G10637" s="15"/>
      <c r="N10637" s="10"/>
      <c r="O10637" s="16"/>
    </row>
    <row r="10638" spans="7:15" x14ac:dyDescent="0.35">
      <c r="G10638" s="15"/>
      <c r="N10638" s="10"/>
      <c r="O10638" s="16"/>
    </row>
    <row r="10639" spans="7:15" x14ac:dyDescent="0.35">
      <c r="G10639" s="15"/>
      <c r="N10639" s="10"/>
      <c r="O10639" s="16"/>
    </row>
    <row r="10640" spans="7:15" x14ac:dyDescent="0.35">
      <c r="G10640" s="15"/>
      <c r="N10640" s="10"/>
      <c r="O10640" s="16"/>
    </row>
    <row r="10641" spans="7:15" x14ac:dyDescent="0.35">
      <c r="G10641" s="15"/>
      <c r="N10641" s="10"/>
      <c r="O10641" s="16"/>
    </row>
    <row r="10642" spans="7:15" x14ac:dyDescent="0.35">
      <c r="G10642" s="15"/>
      <c r="N10642" s="10"/>
      <c r="O10642" s="16"/>
    </row>
    <row r="10643" spans="7:15" x14ac:dyDescent="0.35">
      <c r="G10643" s="15"/>
      <c r="N10643" s="10"/>
      <c r="O10643" s="16"/>
    </row>
    <row r="10644" spans="7:15" x14ac:dyDescent="0.35">
      <c r="G10644" s="15"/>
      <c r="N10644" s="10"/>
      <c r="O10644" s="16"/>
    </row>
    <row r="10645" spans="7:15" x14ac:dyDescent="0.35">
      <c r="G10645" s="15"/>
      <c r="N10645" s="10"/>
      <c r="O10645" s="16"/>
    </row>
    <row r="10646" spans="7:15" x14ac:dyDescent="0.35">
      <c r="G10646" s="15"/>
      <c r="N10646" s="10"/>
      <c r="O10646" s="16"/>
    </row>
    <row r="10647" spans="7:15" x14ac:dyDescent="0.35">
      <c r="G10647" s="15"/>
      <c r="N10647" s="10"/>
      <c r="O10647" s="16"/>
    </row>
    <row r="10648" spans="7:15" x14ac:dyDescent="0.35">
      <c r="G10648" s="15"/>
      <c r="N10648" s="10"/>
      <c r="O10648" s="16"/>
    </row>
    <row r="10649" spans="7:15" x14ac:dyDescent="0.35">
      <c r="G10649" s="15"/>
      <c r="N10649" s="10"/>
      <c r="O10649" s="16"/>
    </row>
    <row r="10650" spans="7:15" x14ac:dyDescent="0.35">
      <c r="G10650" s="15"/>
      <c r="N10650" s="10"/>
      <c r="O10650" s="16"/>
    </row>
    <row r="10651" spans="7:15" x14ac:dyDescent="0.35">
      <c r="G10651" s="15"/>
      <c r="N10651" s="10"/>
      <c r="O10651" s="16"/>
    </row>
    <row r="10652" spans="7:15" x14ac:dyDescent="0.35">
      <c r="G10652" s="15"/>
      <c r="N10652" s="10"/>
      <c r="O10652" s="16"/>
    </row>
    <row r="10653" spans="7:15" x14ac:dyDescent="0.35">
      <c r="G10653" s="15"/>
      <c r="N10653" s="10"/>
      <c r="O10653" s="16"/>
    </row>
    <row r="10654" spans="7:15" x14ac:dyDescent="0.35">
      <c r="G10654" s="15"/>
      <c r="N10654" s="10"/>
      <c r="O10654" s="16"/>
    </row>
    <row r="10655" spans="7:15" x14ac:dyDescent="0.35">
      <c r="G10655" s="15"/>
      <c r="N10655" s="10"/>
      <c r="O10655" s="16"/>
    </row>
    <row r="10656" spans="7:15" x14ac:dyDescent="0.35">
      <c r="G10656" s="15"/>
      <c r="N10656" s="10"/>
      <c r="O10656" s="16"/>
    </row>
    <row r="10657" spans="7:15" x14ac:dyDescent="0.35">
      <c r="G10657" s="15"/>
      <c r="N10657" s="10"/>
      <c r="O10657" s="16"/>
    </row>
    <row r="10658" spans="7:15" x14ac:dyDescent="0.35">
      <c r="G10658" s="15"/>
      <c r="N10658" s="10"/>
      <c r="O10658" s="16"/>
    </row>
    <row r="10659" spans="7:15" x14ac:dyDescent="0.35">
      <c r="G10659" s="15"/>
      <c r="N10659" s="10"/>
      <c r="O10659" s="16"/>
    </row>
    <row r="10660" spans="7:15" x14ac:dyDescent="0.35">
      <c r="G10660" s="15"/>
      <c r="N10660" s="10"/>
      <c r="O10660" s="16"/>
    </row>
    <row r="10661" spans="7:15" x14ac:dyDescent="0.35">
      <c r="G10661" s="15"/>
      <c r="N10661" s="10"/>
      <c r="O10661" s="16"/>
    </row>
    <row r="10662" spans="7:15" x14ac:dyDescent="0.35">
      <c r="G10662" s="15"/>
      <c r="N10662" s="10"/>
      <c r="O10662" s="16"/>
    </row>
    <row r="10663" spans="7:15" x14ac:dyDescent="0.35">
      <c r="G10663" s="15"/>
      <c r="N10663" s="10"/>
      <c r="O10663" s="16"/>
    </row>
    <row r="10664" spans="7:15" x14ac:dyDescent="0.35">
      <c r="G10664" s="15"/>
      <c r="N10664" s="10"/>
      <c r="O10664" s="16"/>
    </row>
    <row r="10665" spans="7:15" x14ac:dyDescent="0.35">
      <c r="G10665" s="15"/>
      <c r="N10665" s="10"/>
      <c r="O10665" s="16"/>
    </row>
    <row r="10666" spans="7:15" x14ac:dyDescent="0.35">
      <c r="G10666" s="15"/>
      <c r="N10666" s="10"/>
      <c r="O10666" s="16"/>
    </row>
    <row r="10667" spans="7:15" x14ac:dyDescent="0.35">
      <c r="G10667" s="15"/>
      <c r="N10667" s="10"/>
      <c r="O10667" s="16"/>
    </row>
    <row r="10668" spans="7:15" x14ac:dyDescent="0.35">
      <c r="G10668" s="15"/>
      <c r="N10668" s="10"/>
      <c r="O10668" s="16"/>
    </row>
    <row r="10669" spans="7:15" x14ac:dyDescent="0.35">
      <c r="G10669" s="15"/>
      <c r="N10669" s="10"/>
      <c r="O10669" s="16"/>
    </row>
    <row r="10670" spans="7:15" x14ac:dyDescent="0.35">
      <c r="G10670" s="15"/>
      <c r="N10670" s="10"/>
      <c r="O10670" s="16"/>
    </row>
    <row r="10671" spans="7:15" x14ac:dyDescent="0.35">
      <c r="G10671" s="15"/>
      <c r="N10671" s="10"/>
      <c r="O10671" s="16"/>
    </row>
    <row r="10672" spans="7:15" x14ac:dyDescent="0.35">
      <c r="G10672" s="15"/>
      <c r="N10672" s="10"/>
      <c r="O10672" s="16"/>
    </row>
    <row r="10673" spans="7:15" x14ac:dyDescent="0.35">
      <c r="G10673" s="15"/>
      <c r="N10673" s="10"/>
      <c r="O10673" s="16"/>
    </row>
    <row r="10674" spans="7:15" x14ac:dyDescent="0.35">
      <c r="G10674" s="15"/>
      <c r="N10674" s="10"/>
      <c r="O10674" s="16"/>
    </row>
    <row r="10675" spans="7:15" x14ac:dyDescent="0.35">
      <c r="G10675" s="15"/>
      <c r="N10675" s="10"/>
      <c r="O10675" s="16"/>
    </row>
    <row r="10676" spans="7:15" x14ac:dyDescent="0.35">
      <c r="G10676" s="15"/>
      <c r="N10676" s="10"/>
      <c r="O10676" s="16"/>
    </row>
    <row r="10677" spans="7:15" x14ac:dyDescent="0.35">
      <c r="G10677" s="15"/>
      <c r="N10677" s="10"/>
      <c r="O10677" s="16"/>
    </row>
    <row r="10678" spans="7:15" x14ac:dyDescent="0.35">
      <c r="G10678" s="15"/>
      <c r="N10678" s="10"/>
      <c r="O10678" s="16"/>
    </row>
    <row r="10679" spans="7:15" x14ac:dyDescent="0.35">
      <c r="G10679" s="15"/>
      <c r="N10679" s="10"/>
      <c r="O10679" s="16"/>
    </row>
    <row r="10680" spans="7:15" x14ac:dyDescent="0.35">
      <c r="G10680" s="15"/>
      <c r="N10680" s="10"/>
      <c r="O10680" s="16"/>
    </row>
    <row r="10681" spans="7:15" x14ac:dyDescent="0.35">
      <c r="G10681" s="15"/>
      <c r="N10681" s="10"/>
      <c r="O10681" s="16"/>
    </row>
    <row r="10682" spans="7:15" x14ac:dyDescent="0.35">
      <c r="G10682" s="15"/>
      <c r="N10682" s="10"/>
      <c r="O10682" s="16"/>
    </row>
    <row r="10683" spans="7:15" x14ac:dyDescent="0.35">
      <c r="G10683" s="15"/>
      <c r="N10683" s="10"/>
      <c r="O10683" s="16"/>
    </row>
    <row r="10684" spans="7:15" x14ac:dyDescent="0.35">
      <c r="G10684" s="15"/>
      <c r="N10684" s="10"/>
      <c r="O10684" s="16"/>
    </row>
    <row r="10685" spans="7:15" x14ac:dyDescent="0.35">
      <c r="G10685" s="15"/>
      <c r="N10685" s="10"/>
      <c r="O10685" s="16"/>
    </row>
    <row r="10686" spans="7:15" x14ac:dyDescent="0.35">
      <c r="G10686" s="15"/>
      <c r="N10686" s="10"/>
      <c r="O10686" s="16"/>
    </row>
    <row r="10687" spans="7:15" x14ac:dyDescent="0.35">
      <c r="G10687" s="15"/>
      <c r="N10687" s="10"/>
      <c r="O10687" s="16"/>
    </row>
    <row r="10688" spans="7:15" x14ac:dyDescent="0.35">
      <c r="G10688" s="15"/>
      <c r="N10688" s="10"/>
      <c r="O10688" s="16"/>
    </row>
    <row r="10689" spans="7:15" x14ac:dyDescent="0.35">
      <c r="G10689" s="15"/>
      <c r="N10689" s="10"/>
      <c r="O10689" s="16"/>
    </row>
    <row r="10690" spans="7:15" x14ac:dyDescent="0.35">
      <c r="G10690" s="15"/>
      <c r="N10690" s="10"/>
      <c r="O10690" s="16"/>
    </row>
    <row r="10691" spans="7:15" x14ac:dyDescent="0.35">
      <c r="G10691" s="15"/>
      <c r="N10691" s="10"/>
      <c r="O10691" s="16"/>
    </row>
    <row r="10692" spans="7:15" x14ac:dyDescent="0.35">
      <c r="G10692" s="15"/>
      <c r="N10692" s="10"/>
      <c r="O10692" s="16"/>
    </row>
    <row r="10693" spans="7:15" x14ac:dyDescent="0.35">
      <c r="G10693" s="15"/>
      <c r="N10693" s="10"/>
      <c r="O10693" s="16"/>
    </row>
    <row r="10694" spans="7:15" x14ac:dyDescent="0.35">
      <c r="G10694" s="15"/>
      <c r="N10694" s="10"/>
      <c r="O10694" s="16"/>
    </row>
    <row r="10695" spans="7:15" x14ac:dyDescent="0.35">
      <c r="G10695" s="15"/>
      <c r="N10695" s="10"/>
      <c r="O10695" s="16"/>
    </row>
    <row r="10696" spans="7:15" x14ac:dyDescent="0.35">
      <c r="G10696" s="15"/>
      <c r="N10696" s="10"/>
      <c r="O10696" s="16"/>
    </row>
    <row r="10697" spans="7:15" x14ac:dyDescent="0.35">
      <c r="G10697" s="15"/>
      <c r="N10697" s="10"/>
      <c r="O10697" s="16"/>
    </row>
    <row r="10698" spans="7:15" x14ac:dyDescent="0.35">
      <c r="G10698" s="15"/>
      <c r="N10698" s="10"/>
      <c r="O10698" s="16"/>
    </row>
    <row r="10699" spans="7:15" x14ac:dyDescent="0.35">
      <c r="G10699" s="15"/>
      <c r="N10699" s="10"/>
      <c r="O10699" s="16"/>
    </row>
    <row r="10700" spans="7:15" x14ac:dyDescent="0.35">
      <c r="G10700" s="15"/>
      <c r="N10700" s="10"/>
      <c r="O10700" s="16"/>
    </row>
    <row r="10701" spans="7:15" x14ac:dyDescent="0.35">
      <c r="G10701" s="15"/>
      <c r="N10701" s="10"/>
      <c r="O10701" s="16"/>
    </row>
    <row r="10702" spans="7:15" x14ac:dyDescent="0.35">
      <c r="G10702" s="15"/>
      <c r="N10702" s="10"/>
      <c r="O10702" s="16"/>
    </row>
    <row r="10703" spans="7:15" x14ac:dyDescent="0.35">
      <c r="G10703" s="15"/>
      <c r="N10703" s="10"/>
      <c r="O10703" s="16"/>
    </row>
    <row r="10704" spans="7:15" x14ac:dyDescent="0.35">
      <c r="G10704" s="15"/>
      <c r="N10704" s="10"/>
      <c r="O10704" s="16"/>
    </row>
    <row r="10705" spans="7:15" x14ac:dyDescent="0.35">
      <c r="G10705" s="15"/>
      <c r="N10705" s="10"/>
      <c r="O10705" s="16"/>
    </row>
    <row r="10706" spans="7:15" x14ac:dyDescent="0.35">
      <c r="G10706" s="15"/>
      <c r="N10706" s="10"/>
      <c r="O10706" s="16"/>
    </row>
    <row r="10707" spans="7:15" x14ac:dyDescent="0.35">
      <c r="G10707" s="15"/>
      <c r="N10707" s="10"/>
      <c r="O10707" s="16"/>
    </row>
    <row r="10708" spans="7:15" x14ac:dyDescent="0.35">
      <c r="G10708" s="15"/>
      <c r="N10708" s="10"/>
      <c r="O10708" s="16"/>
    </row>
    <row r="10709" spans="7:15" x14ac:dyDescent="0.35">
      <c r="G10709" s="15"/>
      <c r="N10709" s="10"/>
      <c r="O10709" s="16"/>
    </row>
    <row r="10710" spans="7:15" x14ac:dyDescent="0.35">
      <c r="G10710" s="15"/>
      <c r="N10710" s="10"/>
      <c r="O10710" s="16"/>
    </row>
    <row r="10711" spans="7:15" x14ac:dyDescent="0.35">
      <c r="G10711" s="15"/>
      <c r="N10711" s="10"/>
      <c r="O10711" s="16"/>
    </row>
    <row r="10712" spans="7:15" x14ac:dyDescent="0.35">
      <c r="G10712" s="15"/>
      <c r="N10712" s="10"/>
      <c r="O10712" s="16"/>
    </row>
    <row r="10713" spans="7:15" x14ac:dyDescent="0.35">
      <c r="G10713" s="15"/>
      <c r="N10713" s="10"/>
      <c r="O10713" s="16"/>
    </row>
    <row r="10714" spans="7:15" x14ac:dyDescent="0.35">
      <c r="G10714" s="15"/>
      <c r="N10714" s="10"/>
      <c r="O10714" s="16"/>
    </row>
    <row r="10715" spans="7:15" x14ac:dyDescent="0.35">
      <c r="G10715" s="15"/>
      <c r="N10715" s="10"/>
      <c r="O10715" s="16"/>
    </row>
    <row r="10716" spans="7:15" x14ac:dyDescent="0.35">
      <c r="G10716" s="15"/>
      <c r="N10716" s="10"/>
      <c r="O10716" s="16"/>
    </row>
    <row r="10717" spans="7:15" x14ac:dyDescent="0.35">
      <c r="G10717" s="15"/>
      <c r="N10717" s="10"/>
      <c r="O10717" s="16"/>
    </row>
    <row r="10718" spans="7:15" x14ac:dyDescent="0.35">
      <c r="G10718" s="15"/>
      <c r="N10718" s="10"/>
      <c r="O10718" s="16"/>
    </row>
    <row r="10719" spans="7:15" x14ac:dyDescent="0.35">
      <c r="G10719" s="15"/>
      <c r="N10719" s="10"/>
      <c r="O10719" s="16"/>
    </row>
    <row r="10720" spans="7:15" x14ac:dyDescent="0.35">
      <c r="G10720" s="15"/>
      <c r="N10720" s="10"/>
      <c r="O10720" s="16"/>
    </row>
    <row r="10721" spans="7:15" x14ac:dyDescent="0.35">
      <c r="G10721" s="15"/>
      <c r="N10721" s="10"/>
      <c r="O10721" s="16"/>
    </row>
    <row r="10722" spans="7:15" x14ac:dyDescent="0.35">
      <c r="G10722" s="15"/>
      <c r="N10722" s="10"/>
      <c r="O10722" s="16"/>
    </row>
    <row r="10723" spans="7:15" x14ac:dyDescent="0.35">
      <c r="G10723" s="15"/>
      <c r="N10723" s="10"/>
      <c r="O10723" s="16"/>
    </row>
    <row r="10724" spans="7:15" x14ac:dyDescent="0.35">
      <c r="G10724" s="15"/>
      <c r="N10724" s="10"/>
      <c r="O10724" s="16"/>
    </row>
    <row r="10725" spans="7:15" x14ac:dyDescent="0.35">
      <c r="G10725" s="15"/>
      <c r="N10725" s="10"/>
      <c r="O10725" s="16"/>
    </row>
    <row r="10726" spans="7:15" x14ac:dyDescent="0.35">
      <c r="G10726" s="15"/>
      <c r="N10726" s="10"/>
      <c r="O10726" s="16"/>
    </row>
    <row r="10727" spans="7:15" x14ac:dyDescent="0.35">
      <c r="G10727" s="15"/>
      <c r="N10727" s="10"/>
      <c r="O10727" s="16"/>
    </row>
    <row r="10728" spans="7:15" x14ac:dyDescent="0.35">
      <c r="G10728" s="15"/>
      <c r="N10728" s="10"/>
      <c r="O10728" s="16"/>
    </row>
    <row r="10729" spans="7:15" x14ac:dyDescent="0.35">
      <c r="G10729" s="15"/>
      <c r="N10729" s="10"/>
      <c r="O10729" s="16"/>
    </row>
    <row r="10730" spans="7:15" x14ac:dyDescent="0.35">
      <c r="G10730" s="15"/>
      <c r="N10730" s="10"/>
      <c r="O10730" s="16"/>
    </row>
    <row r="10731" spans="7:15" x14ac:dyDescent="0.35">
      <c r="G10731" s="15"/>
      <c r="N10731" s="10"/>
      <c r="O10731" s="16"/>
    </row>
    <row r="10732" spans="7:15" x14ac:dyDescent="0.35">
      <c r="G10732" s="15"/>
      <c r="N10732" s="10"/>
      <c r="O10732" s="16"/>
    </row>
    <row r="10733" spans="7:15" x14ac:dyDescent="0.35">
      <c r="G10733" s="15"/>
      <c r="N10733" s="10"/>
      <c r="O10733" s="16"/>
    </row>
    <row r="10734" spans="7:15" x14ac:dyDescent="0.35">
      <c r="G10734" s="15"/>
      <c r="N10734" s="10"/>
      <c r="O10734" s="16"/>
    </row>
    <row r="10735" spans="7:15" x14ac:dyDescent="0.35">
      <c r="G10735" s="15"/>
      <c r="N10735" s="10"/>
      <c r="O10735" s="16"/>
    </row>
    <row r="10736" spans="7:15" x14ac:dyDescent="0.35">
      <c r="G10736" s="15"/>
      <c r="N10736" s="10"/>
      <c r="O10736" s="16"/>
    </row>
    <row r="10737" spans="7:15" x14ac:dyDescent="0.35">
      <c r="G10737" s="15"/>
      <c r="N10737" s="10"/>
      <c r="O10737" s="16"/>
    </row>
    <row r="10738" spans="7:15" x14ac:dyDescent="0.35">
      <c r="G10738" s="15"/>
      <c r="N10738" s="10"/>
      <c r="O10738" s="16"/>
    </row>
    <row r="10739" spans="7:15" x14ac:dyDescent="0.35">
      <c r="G10739" s="15"/>
      <c r="N10739" s="10"/>
      <c r="O10739" s="16"/>
    </row>
    <row r="10740" spans="7:15" x14ac:dyDescent="0.35">
      <c r="G10740" s="15"/>
      <c r="N10740" s="10"/>
      <c r="O10740" s="16"/>
    </row>
    <row r="10741" spans="7:15" x14ac:dyDescent="0.35">
      <c r="G10741" s="15"/>
      <c r="N10741" s="10"/>
      <c r="O10741" s="16"/>
    </row>
    <row r="10742" spans="7:15" x14ac:dyDescent="0.35">
      <c r="G10742" s="15"/>
      <c r="N10742" s="10"/>
      <c r="O10742" s="16"/>
    </row>
    <row r="10743" spans="7:15" x14ac:dyDescent="0.35">
      <c r="G10743" s="15"/>
      <c r="N10743" s="10"/>
      <c r="O10743" s="16"/>
    </row>
    <row r="10744" spans="7:15" x14ac:dyDescent="0.35">
      <c r="G10744" s="15"/>
      <c r="N10744" s="10"/>
      <c r="O10744" s="16"/>
    </row>
    <row r="10745" spans="7:15" x14ac:dyDescent="0.35">
      <c r="G10745" s="15"/>
      <c r="N10745" s="10"/>
      <c r="O10745" s="16"/>
    </row>
    <row r="10746" spans="7:15" x14ac:dyDescent="0.35">
      <c r="G10746" s="15"/>
      <c r="N10746" s="10"/>
      <c r="O10746" s="16"/>
    </row>
    <row r="10747" spans="7:15" x14ac:dyDescent="0.35">
      <c r="G10747" s="15"/>
      <c r="N10747" s="10"/>
      <c r="O10747" s="16"/>
    </row>
    <row r="10748" spans="7:15" x14ac:dyDescent="0.35">
      <c r="G10748" s="15"/>
      <c r="N10748" s="10"/>
      <c r="O10748" s="16"/>
    </row>
    <row r="10749" spans="7:15" x14ac:dyDescent="0.35">
      <c r="G10749" s="15"/>
      <c r="N10749" s="10"/>
      <c r="O10749" s="16"/>
    </row>
    <row r="10750" spans="7:15" x14ac:dyDescent="0.35">
      <c r="G10750" s="15"/>
      <c r="N10750" s="10"/>
      <c r="O10750" s="16"/>
    </row>
    <row r="10751" spans="7:15" x14ac:dyDescent="0.35">
      <c r="G10751" s="15"/>
      <c r="N10751" s="10"/>
      <c r="O10751" s="16"/>
    </row>
    <row r="10752" spans="7:15" x14ac:dyDescent="0.35">
      <c r="G10752" s="15"/>
      <c r="N10752" s="10"/>
      <c r="O10752" s="16"/>
    </row>
    <row r="10753" spans="7:17" x14ac:dyDescent="0.35">
      <c r="G10753" s="15"/>
      <c r="N10753" s="10"/>
      <c r="O10753" s="16"/>
    </row>
    <row r="10754" spans="7:17" x14ac:dyDescent="0.35">
      <c r="G10754" s="15"/>
      <c r="N10754" s="10"/>
      <c r="O10754" s="16"/>
    </row>
    <row r="10755" spans="7:17" x14ac:dyDescent="0.35">
      <c r="G10755" s="15"/>
      <c r="N10755" s="10"/>
      <c r="O10755" s="16"/>
    </row>
    <row r="10756" spans="7:17" x14ac:dyDescent="0.35">
      <c r="G10756" s="15"/>
      <c r="N10756" s="10"/>
      <c r="O10756" s="16"/>
    </row>
    <row r="10757" spans="7:17" x14ac:dyDescent="0.35">
      <c r="G10757" s="15"/>
      <c r="N10757" s="10"/>
      <c r="O10757" s="16"/>
    </row>
    <row r="10758" spans="7:17" x14ac:dyDescent="0.35">
      <c r="G10758" s="15"/>
      <c r="N10758" s="10"/>
      <c r="O10758" s="16"/>
    </row>
    <row r="10759" spans="7:17" x14ac:dyDescent="0.35">
      <c r="G10759" s="15"/>
      <c r="N10759" s="10"/>
      <c r="O10759" s="16"/>
    </row>
    <row r="10760" spans="7:17" x14ac:dyDescent="0.35">
      <c r="G10760" s="15"/>
      <c r="N10760" s="10"/>
      <c r="O10760" s="16"/>
      <c r="Q10760" s="17"/>
    </row>
    <row r="10761" spans="7:17" x14ac:dyDescent="0.35">
      <c r="G10761" s="15"/>
      <c r="N10761" s="10"/>
      <c r="O10761" s="16"/>
      <c r="Q10761" s="17"/>
    </row>
    <row r="10762" spans="7:17" x14ac:dyDescent="0.35">
      <c r="G10762" s="15"/>
      <c r="N10762" s="10"/>
      <c r="O10762" s="16"/>
      <c r="Q10762" s="17"/>
    </row>
    <row r="10763" spans="7:17" x14ac:dyDescent="0.35">
      <c r="G10763" s="15"/>
      <c r="N10763" s="10"/>
      <c r="O10763" s="16"/>
    </row>
    <row r="10764" spans="7:17" x14ac:dyDescent="0.35">
      <c r="G10764" s="15"/>
      <c r="N10764" s="10"/>
      <c r="O10764" s="16"/>
    </row>
    <row r="10765" spans="7:17" x14ac:dyDescent="0.35">
      <c r="G10765" s="15"/>
      <c r="N10765" s="10"/>
      <c r="O10765" s="16"/>
    </row>
    <row r="10766" spans="7:17" x14ac:dyDescent="0.35">
      <c r="G10766" s="15"/>
      <c r="N10766" s="10"/>
      <c r="O10766" s="16"/>
    </row>
    <row r="10767" spans="7:17" x14ac:dyDescent="0.35">
      <c r="G10767" s="15"/>
      <c r="N10767" s="10"/>
      <c r="O10767" s="16"/>
    </row>
    <row r="10768" spans="7:17" x14ac:dyDescent="0.35">
      <c r="G10768" s="15"/>
      <c r="N10768" s="10"/>
      <c r="O10768" s="16"/>
    </row>
    <row r="10769" spans="7:15" x14ac:dyDescent="0.35">
      <c r="G10769" s="15"/>
      <c r="N10769" s="10"/>
      <c r="O10769" s="16"/>
    </row>
    <row r="10770" spans="7:15" x14ac:dyDescent="0.35">
      <c r="G10770" s="15"/>
      <c r="N10770" s="10"/>
      <c r="O10770" s="16"/>
    </row>
    <row r="10771" spans="7:15" x14ac:dyDescent="0.35">
      <c r="G10771" s="15"/>
      <c r="N10771" s="10"/>
      <c r="O10771" s="16"/>
    </row>
    <row r="10772" spans="7:15" x14ac:dyDescent="0.35">
      <c r="G10772" s="15"/>
      <c r="N10772" s="10"/>
      <c r="O10772" s="16"/>
    </row>
    <row r="10773" spans="7:15" x14ac:dyDescent="0.35">
      <c r="G10773" s="15"/>
      <c r="N10773" s="10"/>
      <c r="O10773" s="16"/>
    </row>
    <row r="10774" spans="7:15" x14ac:dyDescent="0.35">
      <c r="G10774" s="15"/>
      <c r="N10774" s="10"/>
      <c r="O10774" s="16"/>
    </row>
    <row r="10775" spans="7:15" x14ac:dyDescent="0.35">
      <c r="G10775" s="15"/>
      <c r="N10775" s="10"/>
      <c r="O10775" s="16"/>
    </row>
    <row r="10776" spans="7:15" x14ac:dyDescent="0.35">
      <c r="G10776" s="15"/>
      <c r="N10776" s="10"/>
      <c r="O10776" s="16"/>
    </row>
    <row r="10777" spans="7:15" x14ac:dyDescent="0.35">
      <c r="G10777" s="15"/>
      <c r="N10777" s="10"/>
      <c r="O10777" s="16"/>
    </row>
    <row r="10778" spans="7:15" x14ac:dyDescent="0.35">
      <c r="G10778" s="15"/>
      <c r="N10778" s="10"/>
      <c r="O10778" s="16"/>
    </row>
    <row r="10779" spans="7:15" x14ac:dyDescent="0.35">
      <c r="G10779" s="15"/>
      <c r="N10779" s="10"/>
      <c r="O10779" s="16"/>
    </row>
    <row r="10780" spans="7:15" x14ac:dyDescent="0.35">
      <c r="G10780" s="15"/>
      <c r="N10780" s="10"/>
      <c r="O10780" s="16"/>
    </row>
    <row r="10781" spans="7:15" x14ac:dyDescent="0.35">
      <c r="G10781" s="15"/>
      <c r="N10781" s="10"/>
      <c r="O10781" s="16"/>
    </row>
    <row r="10782" spans="7:15" x14ac:dyDescent="0.35">
      <c r="G10782" s="15"/>
      <c r="N10782" s="10"/>
      <c r="O10782" s="16"/>
    </row>
    <row r="10783" spans="7:15" x14ac:dyDescent="0.35">
      <c r="G10783" s="15"/>
      <c r="N10783" s="10"/>
      <c r="O10783" s="16"/>
    </row>
    <row r="10784" spans="7:15" x14ac:dyDescent="0.35">
      <c r="G10784" s="15"/>
      <c r="N10784" s="10"/>
      <c r="O10784" s="16"/>
    </row>
    <row r="10785" spans="7:15" x14ac:dyDescent="0.35">
      <c r="G10785" s="15"/>
      <c r="N10785" s="10"/>
      <c r="O10785" s="16"/>
    </row>
    <row r="10786" spans="7:15" x14ac:dyDescent="0.35">
      <c r="G10786" s="15"/>
      <c r="N10786" s="10"/>
      <c r="O10786" s="16"/>
    </row>
    <row r="10787" spans="7:15" x14ac:dyDescent="0.35">
      <c r="G10787" s="15"/>
      <c r="N10787" s="10"/>
      <c r="O10787" s="16"/>
    </row>
    <row r="10788" spans="7:15" x14ac:dyDescent="0.35">
      <c r="G10788" s="15"/>
      <c r="N10788" s="10"/>
      <c r="O10788" s="16"/>
    </row>
    <row r="10789" spans="7:15" x14ac:dyDescent="0.35">
      <c r="G10789" s="15"/>
      <c r="N10789" s="10"/>
      <c r="O10789" s="16"/>
    </row>
    <row r="10790" spans="7:15" x14ac:dyDescent="0.35">
      <c r="G10790" s="15"/>
      <c r="N10790" s="10"/>
      <c r="O10790" s="16"/>
    </row>
    <row r="10791" spans="7:15" x14ac:dyDescent="0.35">
      <c r="G10791" s="15"/>
      <c r="N10791" s="10"/>
      <c r="O10791" s="16"/>
    </row>
    <row r="10792" spans="7:15" x14ac:dyDescent="0.35">
      <c r="G10792" s="15"/>
      <c r="N10792" s="10"/>
      <c r="O10792" s="16"/>
    </row>
    <row r="10793" spans="7:15" x14ac:dyDescent="0.35">
      <c r="G10793" s="15"/>
      <c r="N10793" s="10"/>
      <c r="O10793" s="16"/>
    </row>
    <row r="10794" spans="7:15" x14ac:dyDescent="0.35">
      <c r="G10794" s="15"/>
      <c r="N10794" s="10"/>
      <c r="O10794" s="16"/>
    </row>
    <row r="10795" spans="7:15" x14ac:dyDescent="0.35">
      <c r="G10795" s="15"/>
      <c r="N10795" s="10"/>
      <c r="O10795" s="16"/>
    </row>
    <row r="10796" spans="7:15" x14ac:dyDescent="0.35">
      <c r="G10796" s="15"/>
      <c r="N10796" s="10"/>
      <c r="O10796" s="16"/>
    </row>
    <row r="10797" spans="7:15" x14ac:dyDescent="0.35">
      <c r="G10797" s="15"/>
      <c r="N10797" s="10"/>
      <c r="O10797" s="16"/>
    </row>
    <row r="10798" spans="7:15" x14ac:dyDescent="0.35">
      <c r="G10798" s="15"/>
      <c r="N10798" s="10"/>
      <c r="O10798" s="16"/>
    </row>
    <row r="10799" spans="7:15" x14ac:dyDescent="0.35">
      <c r="G10799" s="15"/>
      <c r="N10799" s="10"/>
      <c r="O10799" s="16"/>
    </row>
    <row r="10800" spans="7:15" x14ac:dyDescent="0.35">
      <c r="G10800" s="15"/>
      <c r="N10800" s="10"/>
      <c r="O10800" s="16"/>
    </row>
    <row r="10801" spans="7:15" x14ac:dyDescent="0.35">
      <c r="G10801" s="15"/>
      <c r="N10801" s="10"/>
      <c r="O10801" s="16"/>
    </row>
    <row r="10802" spans="7:15" x14ac:dyDescent="0.35">
      <c r="G10802" s="15"/>
      <c r="N10802" s="10"/>
      <c r="O10802" s="16"/>
    </row>
    <row r="10803" spans="7:15" x14ac:dyDescent="0.35">
      <c r="G10803" s="15"/>
      <c r="N10803" s="10"/>
      <c r="O10803" s="16"/>
    </row>
    <row r="10804" spans="7:15" x14ac:dyDescent="0.35">
      <c r="G10804" s="15"/>
      <c r="N10804" s="10"/>
      <c r="O10804" s="16"/>
    </row>
    <row r="10805" spans="7:15" x14ac:dyDescent="0.35">
      <c r="G10805" s="15"/>
      <c r="N10805" s="10"/>
      <c r="O10805" s="16"/>
    </row>
    <row r="10806" spans="7:15" x14ac:dyDescent="0.35">
      <c r="G10806" s="15"/>
      <c r="N10806" s="10"/>
      <c r="O10806" s="16"/>
    </row>
    <row r="10807" spans="7:15" x14ac:dyDescent="0.35">
      <c r="G10807" s="15"/>
      <c r="N10807" s="10"/>
      <c r="O10807" s="16"/>
    </row>
    <row r="10808" spans="7:15" x14ac:dyDescent="0.35">
      <c r="G10808" s="15"/>
      <c r="N10808" s="10"/>
      <c r="O10808" s="16"/>
    </row>
    <row r="10809" spans="7:15" x14ac:dyDescent="0.35">
      <c r="G10809" s="15"/>
      <c r="N10809" s="10"/>
      <c r="O10809" s="16"/>
    </row>
    <row r="10810" spans="7:15" x14ac:dyDescent="0.35">
      <c r="G10810" s="15"/>
      <c r="N10810" s="10"/>
      <c r="O10810" s="16"/>
    </row>
    <row r="10811" spans="7:15" x14ac:dyDescent="0.35">
      <c r="G10811" s="15"/>
      <c r="N10811" s="10"/>
      <c r="O10811" s="16"/>
    </row>
    <row r="10812" spans="7:15" x14ac:dyDescent="0.35">
      <c r="G10812" s="15"/>
      <c r="N10812" s="10"/>
      <c r="O10812" s="16"/>
    </row>
    <row r="10813" spans="7:15" x14ac:dyDescent="0.35">
      <c r="G10813" s="15"/>
      <c r="N10813" s="10"/>
      <c r="O10813" s="16"/>
    </row>
    <row r="10814" spans="7:15" x14ac:dyDescent="0.35">
      <c r="G10814" s="15"/>
      <c r="N10814" s="10"/>
      <c r="O10814" s="16"/>
    </row>
    <row r="10815" spans="7:15" x14ac:dyDescent="0.35">
      <c r="G10815" s="15"/>
      <c r="N10815" s="10"/>
      <c r="O10815" s="16"/>
    </row>
    <row r="10816" spans="7:15" x14ac:dyDescent="0.35">
      <c r="G10816" s="15"/>
      <c r="N10816" s="10"/>
      <c r="O10816" s="16"/>
    </row>
    <row r="10817" spans="7:17" x14ac:dyDescent="0.35">
      <c r="G10817" s="15"/>
      <c r="N10817" s="10"/>
      <c r="O10817" s="16"/>
    </row>
    <row r="10818" spans="7:17" x14ac:dyDescent="0.35">
      <c r="G10818" s="15"/>
      <c r="N10818" s="10"/>
      <c r="O10818" s="16"/>
    </row>
    <row r="10819" spans="7:17" x14ac:dyDescent="0.35">
      <c r="G10819" s="15"/>
      <c r="N10819" s="10"/>
      <c r="O10819" s="16"/>
      <c r="Q10819" s="17"/>
    </row>
    <row r="10820" spans="7:17" x14ac:dyDescent="0.35">
      <c r="G10820" s="15"/>
      <c r="N10820" s="10"/>
      <c r="O10820" s="16"/>
    </row>
    <row r="10821" spans="7:17" x14ac:dyDescent="0.35">
      <c r="G10821" s="15"/>
      <c r="N10821" s="10"/>
      <c r="O10821" s="16"/>
    </row>
    <row r="10822" spans="7:17" x14ac:dyDescent="0.35">
      <c r="G10822" s="15"/>
      <c r="N10822" s="10"/>
      <c r="O10822" s="16"/>
      <c r="Q10822" s="17"/>
    </row>
    <row r="10823" spans="7:17" x14ac:dyDescent="0.35">
      <c r="G10823" s="15"/>
      <c r="N10823" s="10"/>
      <c r="O10823" s="16"/>
    </row>
    <row r="10824" spans="7:17" x14ac:dyDescent="0.35">
      <c r="G10824" s="15"/>
      <c r="N10824" s="10"/>
      <c r="O10824" s="16"/>
    </row>
    <row r="10825" spans="7:17" x14ac:dyDescent="0.35">
      <c r="G10825" s="15"/>
      <c r="N10825" s="10"/>
      <c r="O10825" s="16"/>
      <c r="Q10825" s="17"/>
    </row>
    <row r="10826" spans="7:17" x14ac:dyDescent="0.35">
      <c r="G10826" s="15"/>
      <c r="N10826" s="10"/>
      <c r="O10826" s="16"/>
      <c r="Q10826" s="17"/>
    </row>
    <row r="10827" spans="7:17" x14ac:dyDescent="0.35">
      <c r="G10827" s="15"/>
      <c r="N10827" s="10"/>
      <c r="O10827" s="16"/>
    </row>
    <row r="10828" spans="7:17" x14ac:dyDescent="0.35">
      <c r="G10828" s="15"/>
      <c r="N10828" s="10"/>
      <c r="O10828" s="16"/>
    </row>
    <row r="10829" spans="7:17" x14ac:dyDescent="0.35">
      <c r="G10829" s="15"/>
      <c r="N10829" s="10"/>
      <c r="O10829" s="16"/>
    </row>
    <row r="10830" spans="7:17" x14ac:dyDescent="0.35">
      <c r="G10830" s="15"/>
      <c r="N10830" s="10"/>
      <c r="O10830" s="16"/>
    </row>
    <row r="10831" spans="7:17" x14ac:dyDescent="0.35">
      <c r="G10831" s="15"/>
      <c r="N10831" s="10"/>
      <c r="O10831" s="16"/>
    </row>
    <row r="10832" spans="7:17" x14ac:dyDescent="0.35">
      <c r="G10832" s="15"/>
      <c r="N10832" s="10"/>
      <c r="O10832" s="16"/>
    </row>
    <row r="10833" spans="7:15" x14ac:dyDescent="0.35">
      <c r="G10833" s="15"/>
      <c r="N10833" s="10"/>
      <c r="O10833" s="16"/>
    </row>
    <row r="10834" spans="7:15" x14ac:dyDescent="0.35">
      <c r="G10834" s="15"/>
      <c r="N10834" s="10"/>
      <c r="O10834" s="16"/>
    </row>
    <row r="10835" spans="7:15" x14ac:dyDescent="0.35">
      <c r="G10835" s="15"/>
      <c r="N10835" s="10"/>
      <c r="O10835" s="16"/>
    </row>
    <row r="10836" spans="7:15" x14ac:dyDescent="0.35">
      <c r="G10836" s="15"/>
      <c r="N10836" s="10"/>
      <c r="O10836" s="16"/>
    </row>
    <row r="10837" spans="7:15" x14ac:dyDescent="0.35">
      <c r="G10837" s="15"/>
      <c r="N10837" s="10"/>
      <c r="O10837" s="16"/>
    </row>
    <row r="10838" spans="7:15" x14ac:dyDescent="0.35">
      <c r="G10838" s="15"/>
      <c r="N10838" s="10"/>
      <c r="O10838" s="16"/>
    </row>
    <row r="10839" spans="7:15" x14ac:dyDescent="0.35">
      <c r="G10839" s="15"/>
      <c r="N10839" s="10"/>
      <c r="O10839" s="16"/>
    </row>
    <row r="10840" spans="7:15" x14ac:dyDescent="0.35">
      <c r="G10840" s="15"/>
      <c r="N10840" s="10"/>
      <c r="O10840" s="16"/>
    </row>
    <row r="10841" spans="7:15" x14ac:dyDescent="0.35">
      <c r="G10841" s="15"/>
      <c r="N10841" s="10"/>
      <c r="O10841" s="16"/>
    </row>
    <row r="10842" spans="7:15" x14ac:dyDescent="0.35">
      <c r="G10842" s="15"/>
      <c r="N10842" s="10"/>
      <c r="O10842" s="16"/>
    </row>
    <row r="10843" spans="7:15" x14ac:dyDescent="0.35">
      <c r="G10843" s="15"/>
      <c r="N10843" s="10"/>
      <c r="O10843" s="16"/>
    </row>
    <row r="10844" spans="7:15" x14ac:dyDescent="0.35">
      <c r="G10844" s="15"/>
      <c r="N10844" s="10"/>
      <c r="O10844" s="16"/>
    </row>
    <row r="10845" spans="7:15" x14ac:dyDescent="0.35">
      <c r="G10845" s="15"/>
      <c r="N10845" s="10"/>
      <c r="O10845" s="16"/>
    </row>
    <row r="10846" spans="7:15" x14ac:dyDescent="0.35">
      <c r="G10846" s="15"/>
      <c r="N10846" s="10"/>
      <c r="O10846" s="16"/>
    </row>
    <row r="10847" spans="7:15" x14ac:dyDescent="0.35">
      <c r="G10847" s="15"/>
      <c r="N10847" s="10"/>
      <c r="O10847" s="16"/>
    </row>
    <row r="10848" spans="7:15" x14ac:dyDescent="0.35">
      <c r="G10848" s="15"/>
      <c r="N10848" s="10"/>
      <c r="O10848" s="16"/>
    </row>
    <row r="10849" spans="7:15" x14ac:dyDescent="0.35">
      <c r="G10849" s="15"/>
      <c r="N10849" s="10"/>
      <c r="O10849" s="16"/>
    </row>
    <row r="10850" spans="7:15" x14ac:dyDescent="0.35">
      <c r="G10850" s="15"/>
      <c r="N10850" s="10"/>
      <c r="O10850" s="16"/>
    </row>
    <row r="10851" spans="7:15" x14ac:dyDescent="0.35">
      <c r="G10851" s="15"/>
      <c r="N10851" s="10"/>
      <c r="O10851" s="16"/>
    </row>
    <row r="10852" spans="7:15" x14ac:dyDescent="0.35">
      <c r="G10852" s="15"/>
      <c r="N10852" s="10"/>
      <c r="O10852" s="16"/>
    </row>
    <row r="10853" spans="7:15" x14ac:dyDescent="0.35">
      <c r="G10853" s="15"/>
      <c r="N10853" s="10"/>
      <c r="O10853" s="16"/>
    </row>
    <row r="10854" spans="7:15" x14ac:dyDescent="0.35">
      <c r="G10854" s="15"/>
      <c r="N10854" s="10"/>
      <c r="O10854" s="16"/>
    </row>
    <row r="10855" spans="7:15" x14ac:dyDescent="0.35">
      <c r="G10855" s="15"/>
      <c r="N10855" s="10"/>
      <c r="O10855" s="16"/>
    </row>
    <row r="10856" spans="7:15" x14ac:dyDescent="0.35">
      <c r="G10856" s="15"/>
      <c r="N10856" s="10"/>
      <c r="O10856" s="16"/>
    </row>
    <row r="10857" spans="7:15" x14ac:dyDescent="0.35">
      <c r="G10857" s="15"/>
      <c r="N10857" s="10"/>
      <c r="O10857" s="16"/>
    </row>
    <row r="10858" spans="7:15" x14ac:dyDescent="0.35">
      <c r="G10858" s="15"/>
      <c r="N10858" s="10"/>
      <c r="O10858" s="16"/>
    </row>
    <row r="10859" spans="7:15" x14ac:dyDescent="0.35">
      <c r="G10859" s="15"/>
      <c r="N10859" s="10"/>
      <c r="O10859" s="16"/>
    </row>
    <row r="10860" spans="7:15" x14ac:dyDescent="0.35">
      <c r="G10860" s="15"/>
      <c r="N10860" s="10"/>
      <c r="O10860" s="16"/>
    </row>
    <row r="10861" spans="7:15" x14ac:dyDescent="0.35">
      <c r="G10861" s="15"/>
      <c r="N10861" s="10"/>
      <c r="O10861" s="16"/>
    </row>
    <row r="10862" spans="7:15" x14ac:dyDescent="0.35">
      <c r="G10862" s="15"/>
      <c r="N10862" s="10"/>
      <c r="O10862" s="16"/>
    </row>
    <row r="10863" spans="7:15" x14ac:dyDescent="0.35">
      <c r="G10863" s="15"/>
      <c r="N10863" s="10"/>
      <c r="O10863" s="16"/>
    </row>
    <row r="10864" spans="7:15" x14ac:dyDescent="0.35">
      <c r="G10864" s="15"/>
      <c r="N10864" s="10"/>
      <c r="O10864" s="16"/>
    </row>
    <row r="10865" spans="7:15" x14ac:dyDescent="0.35">
      <c r="G10865" s="15"/>
      <c r="N10865" s="10"/>
      <c r="O10865" s="16"/>
    </row>
    <row r="10866" spans="7:15" x14ac:dyDescent="0.35">
      <c r="G10866" s="15"/>
      <c r="N10866" s="10"/>
      <c r="O10866" s="16"/>
    </row>
    <row r="10867" spans="7:15" x14ac:dyDescent="0.35">
      <c r="G10867" s="15"/>
      <c r="N10867" s="10"/>
      <c r="O10867" s="16"/>
    </row>
    <row r="10868" spans="7:15" x14ac:dyDescent="0.35">
      <c r="G10868" s="15"/>
      <c r="N10868" s="10"/>
      <c r="O10868" s="16"/>
    </row>
    <row r="10869" spans="7:15" x14ac:dyDescent="0.35">
      <c r="G10869" s="15"/>
      <c r="N10869" s="10"/>
      <c r="O10869" s="16"/>
    </row>
    <row r="10870" spans="7:15" x14ac:dyDescent="0.35">
      <c r="G10870" s="15"/>
      <c r="N10870" s="10"/>
      <c r="O10870" s="16"/>
    </row>
    <row r="10871" spans="7:15" x14ac:dyDescent="0.35">
      <c r="G10871" s="15"/>
      <c r="N10871" s="10"/>
      <c r="O10871" s="16"/>
    </row>
    <row r="10872" spans="7:15" x14ac:dyDescent="0.35">
      <c r="G10872" s="15"/>
      <c r="N10872" s="10"/>
      <c r="O10872" s="16"/>
    </row>
    <row r="10873" spans="7:15" x14ac:dyDescent="0.35">
      <c r="G10873" s="15"/>
      <c r="N10873" s="10"/>
      <c r="O10873" s="16"/>
    </row>
    <row r="10874" spans="7:15" x14ac:dyDescent="0.35">
      <c r="G10874" s="15"/>
      <c r="N10874" s="10"/>
      <c r="O10874" s="16"/>
    </row>
    <row r="10875" spans="7:15" x14ac:dyDescent="0.35">
      <c r="G10875" s="15"/>
      <c r="N10875" s="10"/>
      <c r="O10875" s="16"/>
    </row>
    <row r="10876" spans="7:15" x14ac:dyDescent="0.35">
      <c r="G10876" s="15"/>
      <c r="N10876" s="10"/>
      <c r="O10876" s="16"/>
    </row>
    <row r="10877" spans="7:15" x14ac:dyDescent="0.35">
      <c r="G10877" s="15"/>
      <c r="N10877" s="10"/>
      <c r="O10877" s="16"/>
    </row>
    <row r="10878" spans="7:15" x14ac:dyDescent="0.35">
      <c r="G10878" s="15"/>
      <c r="N10878" s="10"/>
      <c r="O10878" s="16"/>
    </row>
    <row r="10879" spans="7:15" x14ac:dyDescent="0.35">
      <c r="G10879" s="15"/>
      <c r="N10879" s="10"/>
      <c r="O10879" s="16"/>
    </row>
    <row r="10880" spans="7:15" x14ac:dyDescent="0.35">
      <c r="G10880" s="15"/>
      <c r="N10880" s="10"/>
      <c r="O10880" s="16"/>
    </row>
    <row r="10881" spans="7:15" x14ac:dyDescent="0.35">
      <c r="G10881" s="15"/>
      <c r="N10881" s="10"/>
      <c r="O10881" s="16"/>
    </row>
    <row r="10882" spans="7:15" x14ac:dyDescent="0.35">
      <c r="G10882" s="15"/>
      <c r="N10882" s="10"/>
      <c r="O10882" s="16"/>
    </row>
    <row r="10883" spans="7:15" x14ac:dyDescent="0.35">
      <c r="G10883" s="15"/>
      <c r="N10883" s="10"/>
      <c r="O10883" s="16"/>
    </row>
    <row r="10884" spans="7:15" x14ac:dyDescent="0.35">
      <c r="G10884" s="15"/>
      <c r="N10884" s="10"/>
      <c r="O10884" s="16"/>
    </row>
    <row r="10885" spans="7:15" x14ac:dyDescent="0.35">
      <c r="G10885" s="15"/>
      <c r="N10885" s="10"/>
      <c r="O10885" s="16"/>
    </row>
    <row r="10886" spans="7:15" x14ac:dyDescent="0.35">
      <c r="G10886" s="15"/>
      <c r="N10886" s="10"/>
      <c r="O10886" s="16"/>
    </row>
    <row r="10887" spans="7:15" x14ac:dyDescent="0.35">
      <c r="G10887" s="15"/>
      <c r="N10887" s="10"/>
      <c r="O10887" s="16"/>
    </row>
    <row r="10888" spans="7:15" x14ac:dyDescent="0.35">
      <c r="G10888" s="15"/>
      <c r="N10888" s="10"/>
      <c r="O10888" s="16"/>
    </row>
    <row r="10889" spans="7:15" x14ac:dyDescent="0.35">
      <c r="G10889" s="15"/>
      <c r="N10889" s="10"/>
      <c r="O10889" s="16"/>
    </row>
    <row r="10890" spans="7:15" x14ac:dyDescent="0.35">
      <c r="G10890" s="15"/>
      <c r="N10890" s="10"/>
      <c r="O10890" s="16"/>
    </row>
    <row r="10891" spans="7:15" x14ac:dyDescent="0.35">
      <c r="G10891" s="15"/>
      <c r="N10891" s="10"/>
      <c r="O10891" s="16"/>
    </row>
    <row r="10892" spans="7:15" x14ac:dyDescent="0.35">
      <c r="G10892" s="15"/>
      <c r="N10892" s="10"/>
      <c r="O10892" s="16"/>
    </row>
    <row r="10893" spans="7:15" x14ac:dyDescent="0.35">
      <c r="G10893" s="15"/>
      <c r="N10893" s="10"/>
      <c r="O10893" s="16"/>
    </row>
    <row r="10894" spans="7:15" x14ac:dyDescent="0.35">
      <c r="G10894" s="15"/>
      <c r="N10894" s="10"/>
      <c r="O10894" s="16"/>
    </row>
    <row r="10895" spans="7:15" x14ac:dyDescent="0.35">
      <c r="G10895" s="15"/>
      <c r="N10895" s="10"/>
      <c r="O10895" s="16"/>
    </row>
    <row r="10896" spans="7:15" x14ac:dyDescent="0.35">
      <c r="G10896" s="15"/>
      <c r="N10896" s="10"/>
      <c r="O10896" s="16"/>
    </row>
    <row r="10897" spans="7:15" x14ac:dyDescent="0.35">
      <c r="G10897" s="15"/>
      <c r="N10897" s="10"/>
      <c r="O10897" s="16"/>
    </row>
    <row r="10898" spans="7:15" x14ac:dyDescent="0.35">
      <c r="G10898" s="15"/>
      <c r="N10898" s="10"/>
      <c r="O10898" s="16"/>
    </row>
    <row r="10899" spans="7:15" x14ac:dyDescent="0.35">
      <c r="G10899" s="15"/>
      <c r="N10899" s="10"/>
      <c r="O10899" s="16"/>
    </row>
    <row r="10900" spans="7:15" x14ac:dyDescent="0.35">
      <c r="G10900" s="15"/>
      <c r="N10900" s="10"/>
      <c r="O10900" s="16"/>
    </row>
    <row r="10901" spans="7:15" x14ac:dyDescent="0.35">
      <c r="G10901" s="15"/>
      <c r="N10901" s="10"/>
      <c r="O10901" s="16"/>
    </row>
    <row r="10902" spans="7:15" x14ac:dyDescent="0.35">
      <c r="G10902" s="15"/>
      <c r="N10902" s="10"/>
      <c r="O10902" s="16"/>
    </row>
    <row r="10903" spans="7:15" x14ac:dyDescent="0.35">
      <c r="G10903" s="15"/>
      <c r="N10903" s="10"/>
      <c r="O10903" s="16"/>
    </row>
    <row r="10904" spans="7:15" x14ac:dyDescent="0.35">
      <c r="G10904" s="15"/>
      <c r="N10904" s="10"/>
      <c r="O10904" s="16"/>
    </row>
    <row r="10905" spans="7:15" x14ac:dyDescent="0.35">
      <c r="G10905" s="15"/>
      <c r="N10905" s="10"/>
      <c r="O10905" s="16"/>
    </row>
    <row r="10906" spans="7:15" x14ac:dyDescent="0.35">
      <c r="G10906" s="15"/>
      <c r="N10906" s="10"/>
      <c r="O10906" s="16"/>
    </row>
    <row r="10907" spans="7:15" x14ac:dyDescent="0.35">
      <c r="G10907" s="15"/>
      <c r="N10907" s="10"/>
      <c r="O10907" s="16"/>
    </row>
    <row r="10908" spans="7:15" x14ac:dyDescent="0.35">
      <c r="G10908" s="15"/>
      <c r="N10908" s="10"/>
      <c r="O10908" s="16"/>
    </row>
    <row r="10909" spans="7:15" x14ac:dyDescent="0.35">
      <c r="G10909" s="15"/>
      <c r="N10909" s="10"/>
      <c r="O10909" s="16"/>
    </row>
    <row r="10910" spans="7:15" x14ac:dyDescent="0.35">
      <c r="G10910" s="15"/>
      <c r="N10910" s="10"/>
      <c r="O10910" s="16"/>
    </row>
    <row r="10911" spans="7:15" x14ac:dyDescent="0.35">
      <c r="G10911" s="15"/>
      <c r="N10911" s="10"/>
      <c r="O10911" s="16"/>
    </row>
    <row r="10912" spans="7:15" x14ac:dyDescent="0.35">
      <c r="G10912" s="15"/>
      <c r="N10912" s="10"/>
      <c r="O10912" s="16"/>
    </row>
    <row r="10913" spans="7:15" x14ac:dyDescent="0.35">
      <c r="G10913" s="15"/>
      <c r="N10913" s="10"/>
      <c r="O10913" s="16"/>
    </row>
    <row r="10914" spans="7:15" x14ac:dyDescent="0.35">
      <c r="G10914" s="15"/>
      <c r="N10914" s="10"/>
      <c r="O10914" s="16"/>
    </row>
    <row r="10915" spans="7:15" x14ac:dyDescent="0.35">
      <c r="G10915" s="15"/>
      <c r="N10915" s="10"/>
      <c r="O10915" s="16"/>
    </row>
    <row r="10916" spans="7:15" x14ac:dyDescent="0.35">
      <c r="G10916" s="15"/>
      <c r="N10916" s="10"/>
      <c r="O10916" s="16"/>
    </row>
    <row r="10917" spans="7:15" x14ac:dyDescent="0.35">
      <c r="G10917" s="15"/>
      <c r="N10917" s="10"/>
      <c r="O10917" s="16"/>
    </row>
    <row r="10918" spans="7:15" x14ac:dyDescent="0.35">
      <c r="G10918" s="15"/>
      <c r="N10918" s="10"/>
      <c r="O10918" s="16"/>
    </row>
    <row r="10919" spans="7:15" x14ac:dyDescent="0.35">
      <c r="G10919" s="15"/>
      <c r="N10919" s="10"/>
      <c r="O10919" s="16"/>
    </row>
    <row r="10920" spans="7:15" x14ac:dyDescent="0.35">
      <c r="G10920" s="15"/>
      <c r="N10920" s="10"/>
      <c r="O10920" s="16"/>
    </row>
    <row r="10921" spans="7:15" x14ac:dyDescent="0.35">
      <c r="G10921" s="15"/>
      <c r="N10921" s="10"/>
      <c r="O10921" s="16"/>
    </row>
    <row r="10922" spans="7:15" x14ac:dyDescent="0.35">
      <c r="G10922" s="15"/>
      <c r="N10922" s="10"/>
      <c r="O10922" s="16"/>
    </row>
    <row r="10923" spans="7:15" x14ac:dyDescent="0.35">
      <c r="G10923" s="15"/>
      <c r="N10923" s="10"/>
      <c r="O10923" s="16"/>
    </row>
    <row r="10924" spans="7:15" x14ac:dyDescent="0.35">
      <c r="G10924" s="15"/>
      <c r="N10924" s="10"/>
      <c r="O10924" s="16"/>
    </row>
    <row r="10925" spans="7:15" x14ac:dyDescent="0.35">
      <c r="G10925" s="15"/>
      <c r="N10925" s="10"/>
      <c r="O10925" s="16"/>
    </row>
    <row r="10926" spans="7:15" x14ac:dyDescent="0.35">
      <c r="G10926" s="15"/>
      <c r="N10926" s="10"/>
      <c r="O10926" s="16"/>
    </row>
    <row r="10927" spans="7:15" x14ac:dyDescent="0.35">
      <c r="G10927" s="15"/>
      <c r="N10927" s="10"/>
      <c r="O10927" s="16"/>
    </row>
    <row r="10928" spans="7:15" x14ac:dyDescent="0.35">
      <c r="G10928" s="15"/>
      <c r="N10928" s="10"/>
      <c r="O10928" s="16"/>
    </row>
    <row r="10929" spans="7:15" x14ac:dyDescent="0.35">
      <c r="G10929" s="15"/>
      <c r="N10929" s="10"/>
      <c r="O10929" s="16"/>
    </row>
    <row r="10930" spans="7:15" x14ac:dyDescent="0.35">
      <c r="G10930" s="15"/>
      <c r="N10930" s="10"/>
      <c r="O10930" s="16"/>
    </row>
    <row r="10931" spans="7:15" x14ac:dyDescent="0.35">
      <c r="G10931" s="15"/>
      <c r="N10931" s="10"/>
      <c r="O10931" s="16"/>
    </row>
    <row r="10932" spans="7:15" x14ac:dyDescent="0.35">
      <c r="G10932" s="15"/>
      <c r="N10932" s="10"/>
      <c r="O10932" s="16"/>
    </row>
    <row r="10933" spans="7:15" x14ac:dyDescent="0.35">
      <c r="G10933" s="15"/>
      <c r="N10933" s="10"/>
      <c r="O10933" s="16"/>
    </row>
    <row r="10934" spans="7:15" x14ac:dyDescent="0.35">
      <c r="G10934" s="15"/>
      <c r="N10934" s="10"/>
      <c r="O10934" s="16"/>
    </row>
    <row r="10935" spans="7:15" x14ac:dyDescent="0.35">
      <c r="G10935" s="15"/>
      <c r="N10935" s="10"/>
      <c r="O10935" s="16"/>
    </row>
    <row r="10936" spans="7:15" x14ac:dyDescent="0.35">
      <c r="G10936" s="15"/>
      <c r="N10936" s="10"/>
      <c r="O10936" s="16"/>
    </row>
    <row r="10937" spans="7:15" x14ac:dyDescent="0.35">
      <c r="G10937" s="15"/>
      <c r="N10937" s="10"/>
      <c r="O10937" s="16"/>
    </row>
    <row r="10938" spans="7:15" x14ac:dyDescent="0.35">
      <c r="G10938" s="15"/>
      <c r="N10938" s="10"/>
      <c r="O10938" s="16"/>
    </row>
    <row r="10939" spans="7:15" x14ac:dyDescent="0.35">
      <c r="G10939" s="15"/>
      <c r="N10939" s="10"/>
      <c r="O10939" s="16"/>
    </row>
    <row r="10940" spans="7:15" x14ac:dyDescent="0.35">
      <c r="G10940" s="15"/>
      <c r="N10940" s="10"/>
      <c r="O10940" s="16"/>
    </row>
    <row r="10941" spans="7:15" x14ac:dyDescent="0.35">
      <c r="G10941" s="15"/>
      <c r="N10941" s="10"/>
      <c r="O10941" s="16"/>
    </row>
    <row r="10942" spans="7:15" x14ac:dyDescent="0.35">
      <c r="G10942" s="15"/>
      <c r="N10942" s="10"/>
      <c r="O10942" s="16"/>
    </row>
    <row r="10943" spans="7:15" x14ac:dyDescent="0.35">
      <c r="G10943" s="15"/>
      <c r="N10943" s="10"/>
      <c r="O10943" s="16"/>
    </row>
    <row r="10944" spans="7:15" x14ac:dyDescent="0.35">
      <c r="G10944" s="15"/>
      <c r="N10944" s="10"/>
      <c r="O10944" s="16"/>
    </row>
    <row r="10945" spans="7:15" x14ac:dyDescent="0.35">
      <c r="G10945" s="15"/>
      <c r="N10945" s="10"/>
      <c r="O10945" s="16"/>
    </row>
    <row r="10946" spans="7:15" x14ac:dyDescent="0.35">
      <c r="G10946" s="15"/>
      <c r="N10946" s="10"/>
      <c r="O10946" s="16"/>
    </row>
    <row r="10947" spans="7:15" x14ac:dyDescent="0.35">
      <c r="G10947" s="15"/>
      <c r="N10947" s="10"/>
      <c r="O10947" s="16"/>
    </row>
    <row r="10948" spans="7:15" x14ac:dyDescent="0.35">
      <c r="G10948" s="15"/>
      <c r="N10948" s="10"/>
      <c r="O10948" s="16"/>
    </row>
    <row r="10949" spans="7:15" x14ac:dyDescent="0.35">
      <c r="G10949" s="15"/>
      <c r="N10949" s="10"/>
      <c r="O10949" s="16"/>
    </row>
    <row r="10950" spans="7:15" x14ac:dyDescent="0.35">
      <c r="G10950" s="15"/>
      <c r="N10950" s="10"/>
      <c r="O10950" s="16"/>
    </row>
    <row r="10951" spans="7:15" x14ac:dyDescent="0.35">
      <c r="G10951" s="15"/>
      <c r="N10951" s="10"/>
      <c r="O10951" s="16"/>
    </row>
    <row r="10952" spans="7:15" x14ac:dyDescent="0.35">
      <c r="G10952" s="15"/>
      <c r="N10952" s="10"/>
      <c r="O10952" s="16"/>
    </row>
    <row r="10953" spans="7:15" x14ac:dyDescent="0.35">
      <c r="G10953" s="15"/>
      <c r="N10953" s="10"/>
      <c r="O10953" s="16"/>
    </row>
    <row r="10954" spans="7:15" x14ac:dyDescent="0.35">
      <c r="G10954" s="15"/>
      <c r="N10954" s="10"/>
      <c r="O10954" s="16"/>
    </row>
    <row r="10955" spans="7:15" x14ac:dyDescent="0.35">
      <c r="G10955" s="15"/>
      <c r="N10955" s="10"/>
      <c r="O10955" s="16"/>
    </row>
    <row r="10956" spans="7:15" x14ac:dyDescent="0.35">
      <c r="G10956" s="15"/>
      <c r="N10956" s="10"/>
      <c r="O10956" s="16"/>
    </row>
    <row r="10957" spans="7:15" x14ac:dyDescent="0.35">
      <c r="G10957" s="15"/>
      <c r="N10957" s="10"/>
      <c r="O10957" s="16"/>
    </row>
    <row r="10958" spans="7:15" x14ac:dyDescent="0.35">
      <c r="G10958" s="15"/>
      <c r="N10958" s="10"/>
      <c r="O10958" s="16"/>
    </row>
    <row r="10959" spans="7:15" x14ac:dyDescent="0.35">
      <c r="G10959" s="15"/>
      <c r="N10959" s="10"/>
      <c r="O10959" s="16"/>
    </row>
    <row r="10960" spans="7:15" x14ac:dyDescent="0.35">
      <c r="G10960" s="15"/>
      <c r="N10960" s="10"/>
      <c r="O10960" s="16"/>
    </row>
    <row r="10961" spans="7:15" x14ac:dyDescent="0.35">
      <c r="G10961" s="15"/>
      <c r="N10961" s="10"/>
      <c r="O10961" s="16"/>
    </row>
    <row r="10962" spans="7:15" x14ac:dyDescent="0.35">
      <c r="G10962" s="15"/>
      <c r="N10962" s="10"/>
      <c r="O10962" s="16"/>
    </row>
    <row r="10963" spans="7:15" x14ac:dyDescent="0.35">
      <c r="G10963" s="15"/>
      <c r="N10963" s="10"/>
      <c r="O10963" s="16"/>
    </row>
    <row r="10964" spans="7:15" x14ac:dyDescent="0.35">
      <c r="G10964" s="15"/>
      <c r="N10964" s="10"/>
      <c r="O10964" s="16"/>
    </row>
    <row r="10965" spans="7:15" x14ac:dyDescent="0.35">
      <c r="G10965" s="15"/>
      <c r="N10965" s="10"/>
      <c r="O10965" s="16"/>
    </row>
    <row r="10966" spans="7:15" x14ac:dyDescent="0.35">
      <c r="G10966" s="15"/>
      <c r="N10966" s="10"/>
      <c r="O10966" s="16"/>
    </row>
    <row r="10967" spans="7:15" x14ac:dyDescent="0.35">
      <c r="G10967" s="15"/>
      <c r="N10967" s="10"/>
      <c r="O10967" s="16"/>
    </row>
    <row r="10968" spans="7:15" x14ac:dyDescent="0.35">
      <c r="G10968" s="15"/>
      <c r="N10968" s="10"/>
      <c r="O10968" s="16"/>
    </row>
    <row r="10969" spans="7:15" x14ac:dyDescent="0.35">
      <c r="G10969" s="15"/>
      <c r="N10969" s="10"/>
      <c r="O10969" s="16"/>
    </row>
    <row r="10970" spans="7:15" x14ac:dyDescent="0.35">
      <c r="G10970" s="15"/>
      <c r="N10970" s="10"/>
      <c r="O10970" s="16"/>
    </row>
    <row r="10971" spans="7:15" x14ac:dyDescent="0.35">
      <c r="G10971" s="15"/>
      <c r="N10971" s="10"/>
      <c r="O10971" s="16"/>
    </row>
    <row r="10972" spans="7:15" x14ac:dyDescent="0.35">
      <c r="G10972" s="15"/>
      <c r="N10972" s="10"/>
      <c r="O10972" s="16"/>
    </row>
    <row r="10973" spans="7:15" x14ac:dyDescent="0.35">
      <c r="G10973" s="15"/>
      <c r="N10973" s="10"/>
      <c r="O10973" s="16"/>
    </row>
    <row r="10974" spans="7:15" x14ac:dyDescent="0.35">
      <c r="G10974" s="15"/>
      <c r="N10974" s="10"/>
      <c r="O10974" s="16"/>
    </row>
    <row r="10975" spans="7:15" x14ac:dyDescent="0.35">
      <c r="G10975" s="15"/>
      <c r="N10975" s="10"/>
      <c r="O10975" s="16"/>
    </row>
    <row r="10976" spans="7:15" x14ac:dyDescent="0.35">
      <c r="G10976" s="15"/>
      <c r="N10976" s="10"/>
      <c r="O10976" s="16"/>
    </row>
    <row r="10977" spans="7:15" x14ac:dyDescent="0.35">
      <c r="G10977" s="15"/>
      <c r="N10977" s="10"/>
      <c r="O10977" s="16"/>
    </row>
    <row r="10978" spans="7:15" x14ac:dyDescent="0.35">
      <c r="G10978" s="15"/>
      <c r="N10978" s="10"/>
      <c r="O10978" s="16"/>
    </row>
    <row r="10979" spans="7:15" x14ac:dyDescent="0.35">
      <c r="G10979" s="15"/>
      <c r="N10979" s="10"/>
      <c r="O10979" s="16"/>
    </row>
    <row r="10980" spans="7:15" x14ac:dyDescent="0.35">
      <c r="G10980" s="15"/>
      <c r="N10980" s="10"/>
      <c r="O10980" s="16"/>
    </row>
    <row r="10981" spans="7:15" x14ac:dyDescent="0.35">
      <c r="G10981" s="15"/>
      <c r="N10981" s="10"/>
      <c r="O10981" s="16"/>
    </row>
    <row r="10982" spans="7:15" x14ac:dyDescent="0.35">
      <c r="G10982" s="15"/>
      <c r="N10982" s="10"/>
      <c r="O10982" s="16"/>
    </row>
    <row r="10983" spans="7:15" x14ac:dyDescent="0.35">
      <c r="G10983" s="15"/>
      <c r="N10983" s="10"/>
      <c r="O10983" s="16"/>
    </row>
    <row r="10984" spans="7:15" x14ac:dyDescent="0.35">
      <c r="G10984" s="15"/>
      <c r="N10984" s="10"/>
      <c r="O10984" s="16"/>
    </row>
    <row r="10985" spans="7:15" x14ac:dyDescent="0.35">
      <c r="G10985" s="15"/>
      <c r="N10985" s="10"/>
      <c r="O10985" s="16"/>
    </row>
    <row r="10986" spans="7:15" x14ac:dyDescent="0.35">
      <c r="G10986" s="15"/>
      <c r="N10986" s="10"/>
      <c r="O10986" s="16"/>
    </row>
    <row r="10987" spans="7:15" x14ac:dyDescent="0.35">
      <c r="G10987" s="15"/>
      <c r="N10987" s="10"/>
      <c r="O10987" s="16"/>
    </row>
    <row r="10988" spans="7:15" x14ac:dyDescent="0.35">
      <c r="G10988" s="15"/>
      <c r="N10988" s="10"/>
      <c r="O10988" s="16"/>
    </row>
    <row r="10989" spans="7:15" x14ac:dyDescent="0.35">
      <c r="G10989" s="15"/>
      <c r="N10989" s="10"/>
      <c r="O10989" s="16"/>
    </row>
    <row r="10990" spans="7:15" x14ac:dyDescent="0.35">
      <c r="G10990" s="15"/>
      <c r="N10990" s="10"/>
      <c r="O10990" s="16"/>
    </row>
    <row r="10991" spans="7:15" x14ac:dyDescent="0.35">
      <c r="G10991" s="15"/>
      <c r="N10991" s="10"/>
      <c r="O10991" s="16"/>
    </row>
    <row r="10992" spans="7:15" x14ac:dyDescent="0.35">
      <c r="G10992" s="15"/>
      <c r="N10992" s="10"/>
      <c r="O10992" s="16"/>
    </row>
    <row r="10993" spans="7:15" x14ac:dyDescent="0.35">
      <c r="G10993" s="15"/>
      <c r="N10993" s="10"/>
      <c r="O10993" s="16"/>
    </row>
    <row r="10994" spans="7:15" x14ac:dyDescent="0.35">
      <c r="G10994" s="15"/>
      <c r="N10994" s="10"/>
      <c r="O10994" s="16"/>
    </row>
    <row r="10995" spans="7:15" x14ac:dyDescent="0.35">
      <c r="G10995" s="15"/>
      <c r="N10995" s="10"/>
      <c r="O10995" s="16"/>
    </row>
    <row r="10996" spans="7:15" x14ac:dyDescent="0.35">
      <c r="G10996" s="15"/>
      <c r="N10996" s="10"/>
      <c r="O10996" s="16"/>
    </row>
    <row r="10997" spans="7:15" x14ac:dyDescent="0.35">
      <c r="G10997" s="15"/>
      <c r="N10997" s="10"/>
      <c r="O10997" s="16"/>
    </row>
    <row r="10998" spans="7:15" x14ac:dyDescent="0.35">
      <c r="G10998" s="15"/>
      <c r="N10998" s="10"/>
      <c r="O10998" s="16"/>
    </row>
    <row r="10999" spans="7:15" x14ac:dyDescent="0.35">
      <c r="G10999" s="15"/>
      <c r="N10999" s="10"/>
      <c r="O10999" s="16"/>
    </row>
    <row r="11000" spans="7:15" x14ac:dyDescent="0.35">
      <c r="G11000" s="15"/>
      <c r="N11000" s="10"/>
      <c r="O11000" s="16"/>
    </row>
    <row r="11001" spans="7:15" x14ac:dyDescent="0.35">
      <c r="G11001" s="15"/>
      <c r="N11001" s="10"/>
      <c r="O11001" s="16"/>
    </row>
    <row r="11002" spans="7:15" x14ac:dyDescent="0.35">
      <c r="G11002" s="15"/>
      <c r="N11002" s="10"/>
      <c r="O11002" s="16"/>
    </row>
    <row r="11003" spans="7:15" x14ac:dyDescent="0.35">
      <c r="G11003" s="15"/>
      <c r="N11003" s="10"/>
      <c r="O11003" s="16"/>
    </row>
    <row r="11004" spans="7:15" x14ac:dyDescent="0.35">
      <c r="G11004" s="15"/>
      <c r="N11004" s="10"/>
      <c r="O11004" s="16"/>
    </row>
    <row r="11005" spans="7:15" x14ac:dyDescent="0.35">
      <c r="G11005" s="15"/>
      <c r="N11005" s="10"/>
      <c r="O11005" s="16"/>
    </row>
    <row r="11006" spans="7:15" x14ac:dyDescent="0.35">
      <c r="G11006" s="15"/>
      <c r="N11006" s="10"/>
      <c r="O11006" s="16"/>
    </row>
    <row r="11007" spans="7:15" x14ac:dyDescent="0.35">
      <c r="G11007" s="15"/>
      <c r="N11007" s="10"/>
      <c r="O11007" s="16"/>
    </row>
    <row r="11008" spans="7:15" x14ac:dyDescent="0.35">
      <c r="G11008" s="15"/>
      <c r="N11008" s="10"/>
      <c r="O11008" s="16"/>
    </row>
    <row r="11009" spans="7:15" x14ac:dyDescent="0.35">
      <c r="G11009" s="15"/>
      <c r="N11009" s="10"/>
      <c r="O11009" s="16"/>
    </row>
    <row r="11010" spans="7:15" x14ac:dyDescent="0.35">
      <c r="G11010" s="15"/>
      <c r="N11010" s="10"/>
      <c r="O11010" s="16"/>
    </row>
    <row r="11011" spans="7:15" x14ac:dyDescent="0.35">
      <c r="G11011" s="15"/>
      <c r="N11011" s="10"/>
      <c r="O11011" s="16"/>
    </row>
    <row r="11012" spans="7:15" x14ac:dyDescent="0.35">
      <c r="G11012" s="15"/>
      <c r="N11012" s="10"/>
      <c r="O11012" s="16"/>
    </row>
    <row r="11013" spans="7:15" x14ac:dyDescent="0.35">
      <c r="G11013" s="15"/>
      <c r="N11013" s="10"/>
      <c r="O11013" s="16"/>
    </row>
    <row r="11014" spans="7:15" x14ac:dyDescent="0.35">
      <c r="G11014" s="15"/>
      <c r="N11014" s="10"/>
      <c r="O11014" s="16"/>
    </row>
    <row r="11015" spans="7:15" x14ac:dyDescent="0.35">
      <c r="G11015" s="15"/>
      <c r="N11015" s="10"/>
      <c r="O11015" s="16"/>
    </row>
    <row r="11016" spans="7:15" x14ac:dyDescent="0.35">
      <c r="G11016" s="15"/>
      <c r="N11016" s="10"/>
      <c r="O11016" s="16"/>
    </row>
    <row r="11017" spans="7:15" x14ac:dyDescent="0.35">
      <c r="G11017" s="15"/>
      <c r="N11017" s="10"/>
      <c r="O11017" s="16"/>
    </row>
    <row r="11018" spans="7:15" x14ac:dyDescent="0.35">
      <c r="G11018" s="15"/>
      <c r="N11018" s="10"/>
      <c r="O11018" s="16"/>
    </row>
    <row r="11019" spans="7:15" x14ac:dyDescent="0.35">
      <c r="G11019" s="15"/>
      <c r="N11019" s="10"/>
      <c r="O11019" s="16"/>
    </row>
    <row r="11020" spans="7:15" x14ac:dyDescent="0.35">
      <c r="G11020" s="15"/>
      <c r="N11020" s="10"/>
      <c r="O11020" s="16"/>
    </row>
    <row r="11021" spans="7:15" x14ac:dyDescent="0.35">
      <c r="G11021" s="15"/>
      <c r="N11021" s="10"/>
      <c r="O11021" s="16"/>
    </row>
    <row r="11022" spans="7:15" x14ac:dyDescent="0.35">
      <c r="G11022" s="15"/>
      <c r="N11022" s="10"/>
      <c r="O11022" s="16"/>
    </row>
    <row r="11023" spans="7:15" x14ac:dyDescent="0.35">
      <c r="G11023" s="15"/>
      <c r="N11023" s="10"/>
      <c r="O11023" s="16"/>
    </row>
    <row r="11024" spans="7:15" x14ac:dyDescent="0.35">
      <c r="G11024" s="15"/>
      <c r="N11024" s="10"/>
      <c r="O11024" s="16"/>
    </row>
    <row r="11025" spans="7:15" x14ac:dyDescent="0.35">
      <c r="G11025" s="15"/>
      <c r="N11025" s="10"/>
      <c r="O11025" s="16"/>
    </row>
    <row r="11026" spans="7:15" x14ac:dyDescent="0.35">
      <c r="G11026" s="15"/>
      <c r="N11026" s="10"/>
      <c r="O11026" s="16"/>
    </row>
    <row r="11027" spans="7:15" x14ac:dyDescent="0.35">
      <c r="G11027" s="15"/>
      <c r="N11027" s="10"/>
      <c r="O11027" s="16"/>
    </row>
    <row r="11028" spans="7:15" x14ac:dyDescent="0.35">
      <c r="G11028" s="15"/>
      <c r="N11028" s="10"/>
      <c r="O11028" s="16"/>
    </row>
    <row r="11029" spans="7:15" x14ac:dyDescent="0.35">
      <c r="G11029" s="15"/>
      <c r="N11029" s="10"/>
      <c r="O11029" s="16"/>
    </row>
    <row r="11030" spans="7:15" x14ac:dyDescent="0.35">
      <c r="G11030" s="15"/>
      <c r="N11030" s="10"/>
      <c r="O11030" s="16"/>
    </row>
    <row r="11031" spans="7:15" x14ac:dyDescent="0.35">
      <c r="G11031" s="15"/>
      <c r="N11031" s="10"/>
      <c r="O11031" s="16"/>
    </row>
    <row r="11032" spans="7:15" x14ac:dyDescent="0.35">
      <c r="G11032" s="15"/>
      <c r="N11032" s="10"/>
      <c r="O11032" s="16"/>
    </row>
    <row r="11033" spans="7:15" x14ac:dyDescent="0.35">
      <c r="G11033" s="15"/>
      <c r="N11033" s="10"/>
      <c r="O11033" s="16"/>
    </row>
    <row r="11034" spans="7:15" x14ac:dyDescent="0.35">
      <c r="G11034" s="15"/>
      <c r="N11034" s="10"/>
      <c r="O11034" s="16"/>
    </row>
    <row r="11035" spans="7:15" x14ac:dyDescent="0.35">
      <c r="G11035" s="15"/>
      <c r="N11035" s="10"/>
      <c r="O11035" s="16"/>
    </row>
    <row r="11036" spans="7:15" x14ac:dyDescent="0.35">
      <c r="G11036" s="15"/>
      <c r="N11036" s="10"/>
      <c r="O11036" s="16"/>
    </row>
    <row r="11037" spans="7:15" x14ac:dyDescent="0.35">
      <c r="G11037" s="15"/>
      <c r="N11037" s="10"/>
      <c r="O11037" s="16"/>
    </row>
    <row r="11038" spans="7:15" x14ac:dyDescent="0.35">
      <c r="G11038" s="15"/>
      <c r="N11038" s="10"/>
      <c r="O11038" s="16"/>
    </row>
    <row r="11039" spans="7:15" x14ac:dyDescent="0.35">
      <c r="G11039" s="15"/>
      <c r="N11039" s="10"/>
      <c r="O11039" s="16"/>
    </row>
    <row r="11040" spans="7:15" x14ac:dyDescent="0.35">
      <c r="G11040" s="15"/>
      <c r="N11040" s="10"/>
      <c r="O11040" s="16"/>
    </row>
    <row r="11041" spans="7:15" x14ac:dyDescent="0.35">
      <c r="G11041" s="15"/>
      <c r="N11041" s="10"/>
      <c r="O11041" s="16"/>
    </row>
    <row r="11042" spans="7:15" x14ac:dyDescent="0.35">
      <c r="G11042" s="15"/>
      <c r="N11042" s="10"/>
      <c r="O11042" s="16"/>
    </row>
    <row r="11043" spans="7:15" x14ac:dyDescent="0.35">
      <c r="G11043" s="15"/>
      <c r="N11043" s="10"/>
      <c r="O11043" s="16"/>
    </row>
    <row r="11044" spans="7:15" x14ac:dyDescent="0.35">
      <c r="G11044" s="15"/>
      <c r="N11044" s="10"/>
      <c r="O11044" s="16"/>
    </row>
    <row r="11045" spans="7:15" x14ac:dyDescent="0.35">
      <c r="G11045" s="15"/>
      <c r="N11045" s="10"/>
      <c r="O11045" s="16"/>
    </row>
    <row r="11046" spans="7:15" x14ac:dyDescent="0.35">
      <c r="G11046" s="15"/>
      <c r="N11046" s="10"/>
      <c r="O11046" s="16"/>
    </row>
    <row r="11047" spans="7:15" x14ac:dyDescent="0.35">
      <c r="G11047" s="15"/>
      <c r="N11047" s="10"/>
      <c r="O11047" s="16"/>
    </row>
    <row r="11048" spans="7:15" x14ac:dyDescent="0.35">
      <c r="G11048" s="15"/>
      <c r="N11048" s="10"/>
      <c r="O11048" s="16"/>
    </row>
    <row r="11049" spans="7:15" x14ac:dyDescent="0.35">
      <c r="G11049" s="15"/>
      <c r="N11049" s="10"/>
      <c r="O11049" s="16"/>
    </row>
    <row r="11050" spans="7:15" x14ac:dyDescent="0.35">
      <c r="G11050" s="15"/>
      <c r="N11050" s="10"/>
      <c r="O11050" s="16"/>
    </row>
    <row r="11051" spans="7:15" x14ac:dyDescent="0.35">
      <c r="G11051" s="15"/>
      <c r="N11051" s="10"/>
      <c r="O11051" s="16"/>
    </row>
    <row r="11052" spans="7:15" x14ac:dyDescent="0.35">
      <c r="G11052" s="15"/>
      <c r="N11052" s="10"/>
      <c r="O11052" s="16"/>
    </row>
    <row r="11053" spans="7:15" x14ac:dyDescent="0.35">
      <c r="G11053" s="15"/>
      <c r="N11053" s="10"/>
      <c r="O11053" s="16"/>
    </row>
    <row r="11054" spans="7:15" x14ac:dyDescent="0.35">
      <c r="G11054" s="15"/>
      <c r="N11054" s="10"/>
      <c r="O11054" s="16"/>
    </row>
    <row r="11055" spans="7:15" x14ac:dyDescent="0.35">
      <c r="G11055" s="15"/>
      <c r="N11055" s="10"/>
      <c r="O11055" s="16"/>
    </row>
    <row r="11056" spans="7:15" x14ac:dyDescent="0.35">
      <c r="G11056" s="15"/>
      <c r="N11056" s="10"/>
      <c r="O11056" s="16"/>
    </row>
    <row r="11057" spans="7:15" x14ac:dyDescent="0.35">
      <c r="G11057" s="15"/>
      <c r="N11057" s="10"/>
      <c r="O11057" s="16"/>
    </row>
    <row r="11058" spans="7:15" x14ac:dyDescent="0.35">
      <c r="G11058" s="15"/>
      <c r="N11058" s="10"/>
      <c r="O11058" s="16"/>
    </row>
    <row r="11059" spans="7:15" x14ac:dyDescent="0.35">
      <c r="G11059" s="15"/>
      <c r="N11059" s="10"/>
      <c r="O11059" s="16"/>
    </row>
    <row r="11060" spans="7:15" x14ac:dyDescent="0.35">
      <c r="G11060" s="15"/>
      <c r="N11060" s="10"/>
      <c r="O11060" s="16"/>
    </row>
    <row r="11061" spans="7:15" x14ac:dyDescent="0.35">
      <c r="G11061" s="15"/>
      <c r="N11061" s="10"/>
      <c r="O11061" s="16"/>
    </row>
    <row r="11062" spans="7:15" x14ac:dyDescent="0.35">
      <c r="G11062" s="15"/>
      <c r="N11062" s="10"/>
      <c r="O11062" s="16"/>
    </row>
    <row r="11063" spans="7:15" x14ac:dyDescent="0.35">
      <c r="G11063" s="15"/>
      <c r="N11063" s="10"/>
      <c r="O11063" s="16"/>
    </row>
    <row r="11064" spans="7:15" x14ac:dyDescent="0.35">
      <c r="G11064" s="15"/>
      <c r="N11064" s="10"/>
      <c r="O11064" s="16"/>
    </row>
    <row r="11065" spans="7:15" x14ac:dyDescent="0.35">
      <c r="G11065" s="15"/>
      <c r="N11065" s="10"/>
      <c r="O11065" s="16"/>
    </row>
    <row r="11066" spans="7:15" x14ac:dyDescent="0.35">
      <c r="G11066" s="15"/>
      <c r="N11066" s="10"/>
      <c r="O11066" s="16"/>
    </row>
    <row r="11067" spans="7:15" x14ac:dyDescent="0.35">
      <c r="G11067" s="15"/>
      <c r="N11067" s="10"/>
      <c r="O11067" s="16"/>
    </row>
    <row r="11068" spans="7:15" x14ac:dyDescent="0.35">
      <c r="G11068" s="15"/>
      <c r="N11068" s="10"/>
      <c r="O11068" s="16"/>
    </row>
    <row r="11069" spans="7:15" x14ac:dyDescent="0.35">
      <c r="G11069" s="15"/>
      <c r="N11069" s="10"/>
      <c r="O11069" s="16"/>
    </row>
    <row r="11070" spans="7:15" x14ac:dyDescent="0.35">
      <c r="G11070" s="15"/>
      <c r="N11070" s="10"/>
      <c r="O11070" s="16"/>
    </row>
    <row r="11071" spans="7:15" x14ac:dyDescent="0.35">
      <c r="G11071" s="15"/>
      <c r="N11071" s="10"/>
      <c r="O11071" s="16"/>
    </row>
    <row r="11072" spans="7:15" x14ac:dyDescent="0.35">
      <c r="G11072" s="15"/>
      <c r="N11072" s="10"/>
      <c r="O11072" s="16"/>
    </row>
    <row r="11073" spans="7:17" x14ac:dyDescent="0.35">
      <c r="G11073" s="15"/>
      <c r="N11073" s="10"/>
      <c r="O11073" s="16"/>
    </row>
    <row r="11074" spans="7:17" x14ac:dyDescent="0.35">
      <c r="G11074" s="15"/>
      <c r="N11074" s="10"/>
      <c r="O11074" s="16"/>
    </row>
    <row r="11075" spans="7:17" x14ac:dyDescent="0.35">
      <c r="G11075" s="15"/>
      <c r="N11075" s="10"/>
      <c r="O11075" s="16"/>
    </row>
    <row r="11076" spans="7:17" x14ac:dyDescent="0.35">
      <c r="G11076" s="15"/>
      <c r="N11076" s="10"/>
      <c r="O11076" s="16"/>
    </row>
    <row r="11077" spans="7:17" x14ac:dyDescent="0.35">
      <c r="G11077" s="15"/>
      <c r="N11077" s="10"/>
      <c r="O11077" s="16"/>
    </row>
    <row r="11078" spans="7:17" x14ac:dyDescent="0.35">
      <c r="G11078" s="15"/>
      <c r="N11078" s="10"/>
      <c r="O11078" s="16"/>
    </row>
    <row r="11079" spans="7:17" x14ac:dyDescent="0.35">
      <c r="G11079" s="15"/>
      <c r="N11079" s="10"/>
      <c r="O11079" s="16"/>
    </row>
    <row r="11080" spans="7:17" x14ac:dyDescent="0.35">
      <c r="G11080" s="15"/>
      <c r="N11080" s="10"/>
      <c r="O11080" s="16"/>
    </row>
    <row r="11081" spans="7:17" x14ac:dyDescent="0.35">
      <c r="G11081" s="15"/>
      <c r="N11081" s="10"/>
      <c r="O11081" s="16"/>
    </row>
    <row r="11082" spans="7:17" x14ac:dyDescent="0.35">
      <c r="G11082" s="15"/>
      <c r="N11082" s="10"/>
      <c r="O11082" s="16"/>
    </row>
    <row r="11083" spans="7:17" x14ac:dyDescent="0.35">
      <c r="G11083" s="15"/>
      <c r="N11083" s="10"/>
      <c r="O11083" s="16"/>
    </row>
    <row r="11084" spans="7:17" x14ac:dyDescent="0.35">
      <c r="G11084" s="15"/>
      <c r="N11084" s="10"/>
      <c r="O11084" s="16"/>
    </row>
    <row r="11085" spans="7:17" x14ac:dyDescent="0.35">
      <c r="G11085" s="15"/>
      <c r="N11085" s="10"/>
      <c r="O11085" s="16"/>
      <c r="Q11085" s="17"/>
    </row>
    <row r="11086" spans="7:17" x14ac:dyDescent="0.35">
      <c r="G11086" s="15"/>
      <c r="N11086" s="10"/>
      <c r="O11086" s="16"/>
      <c r="Q11086" s="17"/>
    </row>
    <row r="11087" spans="7:17" x14ac:dyDescent="0.35">
      <c r="G11087" s="15"/>
      <c r="N11087" s="10"/>
      <c r="O11087" s="16"/>
      <c r="Q11087" s="17"/>
    </row>
    <row r="11088" spans="7:17" x14ac:dyDescent="0.35">
      <c r="G11088" s="15"/>
      <c r="N11088" s="10"/>
      <c r="O11088" s="16"/>
    </row>
    <row r="11089" spans="7:15" x14ac:dyDescent="0.35">
      <c r="G11089" s="15"/>
      <c r="N11089" s="10"/>
      <c r="O11089" s="16"/>
    </row>
    <row r="11090" spans="7:15" x14ac:dyDescent="0.35">
      <c r="G11090" s="15"/>
      <c r="N11090" s="10"/>
      <c r="O11090" s="16"/>
    </row>
    <row r="11091" spans="7:15" x14ac:dyDescent="0.35">
      <c r="G11091" s="15"/>
      <c r="N11091" s="10"/>
      <c r="O11091" s="16"/>
    </row>
    <row r="11092" spans="7:15" x14ac:dyDescent="0.35">
      <c r="G11092" s="15"/>
      <c r="N11092" s="10"/>
      <c r="O11092" s="16"/>
    </row>
    <row r="11093" spans="7:15" x14ac:dyDescent="0.35">
      <c r="G11093" s="15"/>
      <c r="N11093" s="10"/>
      <c r="O11093" s="16"/>
    </row>
    <row r="11094" spans="7:15" x14ac:dyDescent="0.35">
      <c r="G11094" s="15"/>
      <c r="N11094" s="10"/>
      <c r="O11094" s="16"/>
    </row>
    <row r="11095" spans="7:15" x14ac:dyDescent="0.35">
      <c r="G11095" s="15"/>
      <c r="N11095" s="10"/>
      <c r="O11095" s="16"/>
    </row>
    <row r="11096" spans="7:15" x14ac:dyDescent="0.35">
      <c r="G11096" s="15"/>
      <c r="N11096" s="10"/>
      <c r="O11096" s="16"/>
    </row>
    <row r="11097" spans="7:15" x14ac:dyDescent="0.35">
      <c r="G11097" s="15"/>
      <c r="N11097" s="10"/>
      <c r="O11097" s="16"/>
    </row>
    <row r="11098" spans="7:15" x14ac:dyDescent="0.35">
      <c r="G11098" s="15"/>
      <c r="N11098" s="10"/>
      <c r="O11098" s="16"/>
    </row>
    <row r="11099" spans="7:15" x14ac:dyDescent="0.35">
      <c r="G11099" s="15"/>
      <c r="N11099" s="10"/>
      <c r="O11099" s="16"/>
    </row>
    <row r="11100" spans="7:15" x14ac:dyDescent="0.35">
      <c r="G11100" s="15"/>
      <c r="N11100" s="10"/>
      <c r="O11100" s="16"/>
    </row>
    <row r="11101" spans="7:15" x14ac:dyDescent="0.35">
      <c r="G11101" s="15"/>
      <c r="N11101" s="10"/>
      <c r="O11101" s="16"/>
    </row>
    <row r="11102" spans="7:15" x14ac:dyDescent="0.35">
      <c r="G11102" s="15"/>
      <c r="N11102" s="10"/>
      <c r="O11102" s="16"/>
    </row>
    <row r="11103" spans="7:15" x14ac:dyDescent="0.35">
      <c r="G11103" s="15"/>
      <c r="N11103" s="10"/>
      <c r="O11103" s="16"/>
    </row>
    <row r="11104" spans="7:15" x14ac:dyDescent="0.35">
      <c r="G11104" s="15"/>
      <c r="N11104" s="10"/>
      <c r="O11104" s="16"/>
    </row>
    <row r="11105" spans="7:15" x14ac:dyDescent="0.35">
      <c r="G11105" s="15"/>
      <c r="N11105" s="10"/>
      <c r="O11105" s="16"/>
    </row>
    <row r="11106" spans="7:15" x14ac:dyDescent="0.35">
      <c r="G11106" s="15"/>
      <c r="N11106" s="10"/>
      <c r="O11106" s="16"/>
    </row>
    <row r="11107" spans="7:15" x14ac:dyDescent="0.35">
      <c r="G11107" s="15"/>
      <c r="N11107" s="10"/>
      <c r="O11107" s="16"/>
    </row>
    <row r="11108" spans="7:15" x14ac:dyDescent="0.35">
      <c r="G11108" s="15"/>
      <c r="N11108" s="10"/>
      <c r="O11108" s="16"/>
    </row>
    <row r="11109" spans="7:15" x14ac:dyDescent="0.35">
      <c r="G11109" s="15"/>
      <c r="N11109" s="10"/>
      <c r="O11109" s="16"/>
    </row>
    <row r="11110" spans="7:15" x14ac:dyDescent="0.35">
      <c r="G11110" s="15"/>
      <c r="N11110" s="10"/>
      <c r="O11110" s="16"/>
    </row>
    <row r="11111" spans="7:15" x14ac:dyDescent="0.35">
      <c r="G11111" s="15"/>
      <c r="N11111" s="10"/>
      <c r="O11111" s="16"/>
    </row>
    <row r="11112" spans="7:15" x14ac:dyDescent="0.35">
      <c r="G11112" s="15"/>
      <c r="N11112" s="10"/>
      <c r="O11112" s="16"/>
    </row>
    <row r="11113" spans="7:15" x14ac:dyDescent="0.35">
      <c r="G11113" s="15"/>
      <c r="N11113" s="10"/>
      <c r="O11113" s="16"/>
    </row>
    <row r="11114" spans="7:15" x14ac:dyDescent="0.35">
      <c r="G11114" s="15"/>
      <c r="N11114" s="10"/>
      <c r="O11114" s="16"/>
    </row>
    <row r="11115" spans="7:15" x14ac:dyDescent="0.35">
      <c r="G11115" s="15"/>
      <c r="N11115" s="10"/>
      <c r="O11115" s="16"/>
    </row>
    <row r="11116" spans="7:15" x14ac:dyDescent="0.35">
      <c r="G11116" s="15"/>
      <c r="N11116" s="10"/>
      <c r="O11116" s="16"/>
    </row>
    <row r="11117" spans="7:15" x14ac:dyDescent="0.35">
      <c r="G11117" s="15"/>
      <c r="N11117" s="10"/>
      <c r="O11117" s="16"/>
    </row>
    <row r="11118" spans="7:15" x14ac:dyDescent="0.35">
      <c r="G11118" s="15"/>
      <c r="N11118" s="10"/>
      <c r="O11118" s="16"/>
    </row>
    <row r="11119" spans="7:15" x14ac:dyDescent="0.35">
      <c r="G11119" s="15"/>
      <c r="N11119" s="10"/>
      <c r="O11119" s="16"/>
    </row>
    <row r="11120" spans="7:15" x14ac:dyDescent="0.35">
      <c r="G11120" s="15"/>
      <c r="N11120" s="10"/>
      <c r="O11120" s="16"/>
    </row>
    <row r="11121" spans="7:15" x14ac:dyDescent="0.35">
      <c r="G11121" s="15"/>
      <c r="N11121" s="10"/>
      <c r="O11121" s="16"/>
    </row>
    <row r="11122" spans="7:15" x14ac:dyDescent="0.35">
      <c r="G11122" s="15"/>
      <c r="N11122" s="10"/>
      <c r="O11122" s="16"/>
    </row>
    <row r="11123" spans="7:15" x14ac:dyDescent="0.35">
      <c r="G11123" s="15"/>
      <c r="N11123" s="10"/>
      <c r="O11123" s="16"/>
    </row>
    <row r="11124" spans="7:15" x14ac:dyDescent="0.35">
      <c r="G11124" s="15"/>
      <c r="N11124" s="10"/>
      <c r="O11124" s="16"/>
    </row>
    <row r="11125" spans="7:15" x14ac:dyDescent="0.35">
      <c r="G11125" s="15"/>
      <c r="N11125" s="10"/>
      <c r="O11125" s="16"/>
    </row>
    <row r="11126" spans="7:15" x14ac:dyDescent="0.35">
      <c r="G11126" s="15"/>
      <c r="N11126" s="10"/>
      <c r="O11126" s="16"/>
    </row>
    <row r="11127" spans="7:15" x14ac:dyDescent="0.35">
      <c r="G11127" s="15"/>
      <c r="N11127" s="10"/>
      <c r="O11127" s="16"/>
    </row>
    <row r="11128" spans="7:15" x14ac:dyDescent="0.35">
      <c r="G11128" s="15"/>
      <c r="N11128" s="10"/>
      <c r="O11128" s="16"/>
    </row>
    <row r="11129" spans="7:15" x14ac:dyDescent="0.35">
      <c r="G11129" s="15"/>
      <c r="N11129" s="10"/>
      <c r="O11129" s="16"/>
    </row>
    <row r="11130" spans="7:15" x14ac:dyDescent="0.35">
      <c r="G11130" s="15"/>
      <c r="N11130" s="10"/>
      <c r="O11130" s="16"/>
    </row>
    <row r="11131" spans="7:15" x14ac:dyDescent="0.35">
      <c r="G11131" s="15"/>
      <c r="N11131" s="10"/>
      <c r="O11131" s="16"/>
    </row>
    <row r="11132" spans="7:15" x14ac:dyDescent="0.35">
      <c r="G11132" s="15"/>
      <c r="N11132" s="10"/>
      <c r="O11132" s="16"/>
    </row>
    <row r="11133" spans="7:15" x14ac:dyDescent="0.35">
      <c r="G11133" s="15"/>
      <c r="N11133" s="10"/>
      <c r="O11133" s="16"/>
    </row>
    <row r="11134" spans="7:15" x14ac:dyDescent="0.35">
      <c r="G11134" s="15"/>
      <c r="N11134" s="10"/>
      <c r="O11134" s="16"/>
    </row>
    <row r="11135" spans="7:15" x14ac:dyDescent="0.35">
      <c r="G11135" s="15"/>
      <c r="N11135" s="10"/>
      <c r="O11135" s="16"/>
    </row>
    <row r="11136" spans="7:15" x14ac:dyDescent="0.35">
      <c r="G11136" s="15"/>
      <c r="N11136" s="10"/>
      <c r="O11136" s="16"/>
    </row>
    <row r="11137" spans="7:15" x14ac:dyDescent="0.35">
      <c r="G11137" s="15"/>
      <c r="N11137" s="10"/>
      <c r="O11137" s="16"/>
    </row>
    <row r="11138" spans="7:15" x14ac:dyDescent="0.35">
      <c r="G11138" s="15"/>
      <c r="N11138" s="10"/>
      <c r="O11138" s="16"/>
    </row>
    <row r="11139" spans="7:15" x14ac:dyDescent="0.35">
      <c r="G11139" s="15"/>
      <c r="N11139" s="10"/>
      <c r="O11139" s="16"/>
    </row>
    <row r="11140" spans="7:15" x14ac:dyDescent="0.35">
      <c r="G11140" s="15"/>
      <c r="N11140" s="10"/>
      <c r="O11140" s="16"/>
    </row>
    <row r="11141" spans="7:15" x14ac:dyDescent="0.35">
      <c r="G11141" s="15"/>
      <c r="N11141" s="10"/>
      <c r="O11141" s="16"/>
    </row>
    <row r="11142" spans="7:15" x14ac:dyDescent="0.35">
      <c r="G11142" s="15"/>
      <c r="N11142" s="10"/>
      <c r="O11142" s="16"/>
    </row>
    <row r="11143" spans="7:15" x14ac:dyDescent="0.35">
      <c r="G11143" s="15"/>
      <c r="N11143" s="10"/>
      <c r="O11143" s="16"/>
    </row>
    <row r="11144" spans="7:15" x14ac:dyDescent="0.35">
      <c r="G11144" s="15"/>
      <c r="N11144" s="10"/>
      <c r="O11144" s="16"/>
    </row>
    <row r="11145" spans="7:15" x14ac:dyDescent="0.35">
      <c r="G11145" s="15"/>
      <c r="N11145" s="10"/>
      <c r="O11145" s="16"/>
    </row>
    <row r="11146" spans="7:15" x14ac:dyDescent="0.35">
      <c r="G11146" s="15"/>
      <c r="N11146" s="10"/>
      <c r="O11146" s="16"/>
    </row>
    <row r="11147" spans="7:15" x14ac:dyDescent="0.35">
      <c r="G11147" s="15"/>
      <c r="N11147" s="10"/>
      <c r="O11147" s="16"/>
    </row>
    <row r="11148" spans="7:15" x14ac:dyDescent="0.35">
      <c r="G11148" s="15"/>
      <c r="N11148" s="10"/>
      <c r="O11148" s="16"/>
    </row>
    <row r="11149" spans="7:15" x14ac:dyDescent="0.35">
      <c r="G11149" s="15"/>
      <c r="N11149" s="10"/>
      <c r="O11149" s="16"/>
    </row>
    <row r="11150" spans="7:15" x14ac:dyDescent="0.35">
      <c r="G11150" s="15"/>
      <c r="N11150" s="10"/>
      <c r="O11150" s="16"/>
    </row>
    <row r="11151" spans="7:15" x14ac:dyDescent="0.35">
      <c r="G11151" s="15"/>
      <c r="N11151" s="10"/>
      <c r="O11151" s="16"/>
    </row>
    <row r="11152" spans="7:15" x14ac:dyDescent="0.35">
      <c r="G11152" s="15"/>
      <c r="N11152" s="10"/>
      <c r="O11152" s="16"/>
    </row>
    <row r="11153" spans="7:15" x14ac:dyDescent="0.35">
      <c r="G11153" s="15"/>
      <c r="N11153" s="10"/>
      <c r="O11153" s="16"/>
    </row>
    <row r="11154" spans="7:15" x14ac:dyDescent="0.35">
      <c r="G11154" s="15"/>
      <c r="N11154" s="10"/>
      <c r="O11154" s="16"/>
    </row>
    <row r="11155" spans="7:15" x14ac:dyDescent="0.35">
      <c r="G11155" s="15"/>
      <c r="N11155" s="10"/>
      <c r="O11155" s="16"/>
    </row>
    <row r="11156" spans="7:15" x14ac:dyDescent="0.35">
      <c r="G11156" s="15"/>
      <c r="N11156" s="10"/>
      <c r="O11156" s="16"/>
    </row>
    <row r="11157" spans="7:15" x14ac:dyDescent="0.35">
      <c r="G11157" s="15"/>
      <c r="N11157" s="10"/>
      <c r="O11157" s="16"/>
    </row>
    <row r="11158" spans="7:15" x14ac:dyDescent="0.35">
      <c r="G11158" s="15"/>
      <c r="N11158" s="10"/>
      <c r="O11158" s="16"/>
    </row>
    <row r="11159" spans="7:15" x14ac:dyDescent="0.35">
      <c r="G11159" s="15"/>
      <c r="N11159" s="10"/>
      <c r="O11159" s="16"/>
    </row>
    <row r="11160" spans="7:15" x14ac:dyDescent="0.35">
      <c r="G11160" s="15"/>
      <c r="N11160" s="10"/>
      <c r="O11160" s="16"/>
    </row>
    <row r="11161" spans="7:15" x14ac:dyDescent="0.35">
      <c r="G11161" s="15"/>
      <c r="N11161" s="10"/>
      <c r="O11161" s="16"/>
    </row>
    <row r="11162" spans="7:15" x14ac:dyDescent="0.35">
      <c r="G11162" s="15"/>
      <c r="N11162" s="10"/>
      <c r="O11162" s="16"/>
    </row>
    <row r="11163" spans="7:15" x14ac:dyDescent="0.35">
      <c r="G11163" s="15"/>
      <c r="N11163" s="10"/>
      <c r="O11163" s="16"/>
    </row>
    <row r="11164" spans="7:15" x14ac:dyDescent="0.35">
      <c r="G11164" s="15"/>
      <c r="N11164" s="10"/>
      <c r="O11164" s="16"/>
    </row>
    <row r="11165" spans="7:15" x14ac:dyDescent="0.35">
      <c r="G11165" s="15"/>
      <c r="N11165" s="10"/>
      <c r="O11165" s="16"/>
    </row>
    <row r="11166" spans="7:15" x14ac:dyDescent="0.35">
      <c r="G11166" s="15"/>
      <c r="N11166" s="10"/>
      <c r="O11166" s="16"/>
    </row>
    <row r="11167" spans="7:15" x14ac:dyDescent="0.35">
      <c r="G11167" s="15"/>
      <c r="N11167" s="10"/>
      <c r="O11167" s="16"/>
    </row>
    <row r="11168" spans="7:15" x14ac:dyDescent="0.35">
      <c r="G11168" s="15"/>
      <c r="N11168" s="10"/>
      <c r="O11168" s="16"/>
    </row>
    <row r="11169" spans="7:15" x14ac:dyDescent="0.35">
      <c r="G11169" s="15"/>
      <c r="N11169" s="10"/>
      <c r="O11169" s="16"/>
    </row>
    <row r="11170" spans="7:15" x14ac:dyDescent="0.35">
      <c r="G11170" s="15"/>
      <c r="N11170" s="10"/>
      <c r="O11170" s="16"/>
    </row>
    <row r="11171" spans="7:15" x14ac:dyDescent="0.35">
      <c r="G11171" s="15"/>
      <c r="N11171" s="10"/>
      <c r="O11171" s="16"/>
    </row>
    <row r="11172" spans="7:15" x14ac:dyDescent="0.35">
      <c r="G11172" s="15"/>
      <c r="N11172" s="10"/>
      <c r="O11172" s="16"/>
    </row>
    <row r="11173" spans="7:15" x14ac:dyDescent="0.35">
      <c r="G11173" s="15"/>
      <c r="N11173" s="10"/>
      <c r="O11173" s="16"/>
    </row>
    <row r="11174" spans="7:15" x14ac:dyDescent="0.35">
      <c r="G11174" s="15"/>
      <c r="N11174" s="10"/>
      <c r="O11174" s="16"/>
    </row>
    <row r="11175" spans="7:15" x14ac:dyDescent="0.35">
      <c r="G11175" s="15"/>
      <c r="N11175" s="10"/>
      <c r="O11175" s="16"/>
    </row>
    <row r="11176" spans="7:15" x14ac:dyDescent="0.35">
      <c r="G11176" s="15"/>
      <c r="N11176" s="10"/>
      <c r="O11176" s="16"/>
    </row>
    <row r="11177" spans="7:15" x14ac:dyDescent="0.35">
      <c r="G11177" s="15"/>
      <c r="N11177" s="10"/>
      <c r="O11177" s="16"/>
    </row>
    <row r="11178" spans="7:15" x14ac:dyDescent="0.35">
      <c r="G11178" s="15"/>
      <c r="N11178" s="10"/>
      <c r="O11178" s="16"/>
    </row>
    <row r="11179" spans="7:15" x14ac:dyDescent="0.35">
      <c r="G11179" s="15"/>
      <c r="N11179" s="10"/>
      <c r="O11179" s="16"/>
    </row>
    <row r="11180" spans="7:15" x14ac:dyDescent="0.35">
      <c r="G11180" s="15"/>
      <c r="N11180" s="10"/>
      <c r="O11180" s="16"/>
    </row>
    <row r="11181" spans="7:15" x14ac:dyDescent="0.35">
      <c r="G11181" s="15"/>
      <c r="N11181" s="10"/>
      <c r="O11181" s="16"/>
    </row>
    <row r="11182" spans="7:15" x14ac:dyDescent="0.35">
      <c r="G11182" s="15"/>
      <c r="N11182" s="10"/>
      <c r="O11182" s="16"/>
    </row>
    <row r="11183" spans="7:15" x14ac:dyDescent="0.35">
      <c r="G11183" s="15"/>
      <c r="N11183" s="10"/>
      <c r="O11183" s="16"/>
    </row>
    <row r="11184" spans="7:15" x14ac:dyDescent="0.35">
      <c r="G11184" s="15"/>
      <c r="N11184" s="10"/>
      <c r="O11184" s="16"/>
    </row>
    <row r="11185" spans="7:15" x14ac:dyDescent="0.35">
      <c r="G11185" s="15"/>
      <c r="N11185" s="10"/>
      <c r="O11185" s="16"/>
    </row>
    <row r="11186" spans="7:15" x14ac:dyDescent="0.35">
      <c r="G11186" s="15"/>
      <c r="N11186" s="10"/>
      <c r="O11186" s="16"/>
    </row>
    <row r="11187" spans="7:15" x14ac:dyDescent="0.35">
      <c r="G11187" s="15"/>
      <c r="N11187" s="10"/>
      <c r="O11187" s="16"/>
    </row>
    <row r="11188" spans="7:15" x14ac:dyDescent="0.35">
      <c r="G11188" s="15"/>
      <c r="N11188" s="10"/>
      <c r="O11188" s="16"/>
    </row>
    <row r="11189" spans="7:15" x14ac:dyDescent="0.35">
      <c r="G11189" s="15"/>
      <c r="N11189" s="10"/>
      <c r="O11189" s="16"/>
    </row>
    <row r="11190" spans="7:15" x14ac:dyDescent="0.35">
      <c r="G11190" s="15"/>
      <c r="N11190" s="10"/>
      <c r="O11190" s="16"/>
    </row>
    <row r="11191" spans="7:15" x14ac:dyDescent="0.35">
      <c r="G11191" s="15"/>
      <c r="N11191" s="10"/>
      <c r="O11191" s="16"/>
    </row>
    <row r="11192" spans="7:15" x14ac:dyDescent="0.35">
      <c r="G11192" s="15"/>
      <c r="N11192" s="10"/>
      <c r="O11192" s="16"/>
    </row>
    <row r="11193" spans="7:15" x14ac:dyDescent="0.35">
      <c r="G11193" s="15"/>
      <c r="N11193" s="10"/>
      <c r="O11193" s="16"/>
    </row>
    <row r="11194" spans="7:15" x14ac:dyDescent="0.35">
      <c r="G11194" s="15"/>
      <c r="N11194" s="10"/>
      <c r="O11194" s="16"/>
    </row>
    <row r="11195" spans="7:15" x14ac:dyDescent="0.35">
      <c r="G11195" s="15"/>
      <c r="N11195" s="10"/>
      <c r="O11195" s="16"/>
    </row>
    <row r="11196" spans="7:15" x14ac:dyDescent="0.35">
      <c r="G11196" s="15"/>
      <c r="N11196" s="10"/>
      <c r="O11196" s="16"/>
    </row>
    <row r="11197" spans="7:15" x14ac:dyDescent="0.35">
      <c r="G11197" s="15"/>
      <c r="N11197" s="10"/>
      <c r="O11197" s="16"/>
    </row>
    <row r="11198" spans="7:15" x14ac:dyDescent="0.35">
      <c r="G11198" s="15"/>
      <c r="N11198" s="10"/>
      <c r="O11198" s="16"/>
    </row>
    <row r="11199" spans="7:15" x14ac:dyDescent="0.35">
      <c r="G11199" s="15"/>
      <c r="N11199" s="10"/>
      <c r="O11199" s="16"/>
    </row>
    <row r="11200" spans="7:15" x14ac:dyDescent="0.35">
      <c r="G11200" s="15"/>
      <c r="N11200" s="10"/>
      <c r="O11200" s="16"/>
    </row>
    <row r="11201" spans="7:15" x14ac:dyDescent="0.35">
      <c r="G11201" s="15"/>
      <c r="N11201" s="10"/>
      <c r="O11201" s="16"/>
    </row>
    <row r="11202" spans="7:15" x14ac:dyDescent="0.35">
      <c r="G11202" s="15"/>
      <c r="N11202" s="10"/>
      <c r="O11202" s="16"/>
    </row>
    <row r="11203" spans="7:15" x14ac:dyDescent="0.35">
      <c r="G11203" s="15"/>
      <c r="N11203" s="10"/>
      <c r="O11203" s="16"/>
    </row>
    <row r="11204" spans="7:15" x14ac:dyDescent="0.35">
      <c r="G11204" s="15"/>
      <c r="N11204" s="10"/>
      <c r="O11204" s="16"/>
    </row>
    <row r="11205" spans="7:15" x14ac:dyDescent="0.35">
      <c r="G11205" s="15"/>
      <c r="N11205" s="10"/>
      <c r="O11205" s="16"/>
    </row>
    <row r="11206" spans="7:15" x14ac:dyDescent="0.35">
      <c r="G11206" s="15"/>
      <c r="N11206" s="10"/>
      <c r="O11206" s="16"/>
    </row>
    <row r="11207" spans="7:15" x14ac:dyDescent="0.35">
      <c r="G11207" s="15"/>
      <c r="N11207" s="10"/>
      <c r="O11207" s="16"/>
    </row>
    <row r="11208" spans="7:15" x14ac:dyDescent="0.35">
      <c r="G11208" s="15"/>
      <c r="N11208" s="10"/>
      <c r="O11208" s="16"/>
    </row>
    <row r="11209" spans="7:15" x14ac:dyDescent="0.35">
      <c r="G11209" s="15"/>
      <c r="N11209" s="10"/>
      <c r="O11209" s="16"/>
    </row>
    <row r="11210" spans="7:15" x14ac:dyDescent="0.35">
      <c r="G11210" s="15"/>
      <c r="N11210" s="10"/>
      <c r="O11210" s="16"/>
    </row>
    <row r="11211" spans="7:15" x14ac:dyDescent="0.35">
      <c r="G11211" s="15"/>
      <c r="N11211" s="10"/>
      <c r="O11211" s="16"/>
    </row>
    <row r="11212" spans="7:15" x14ac:dyDescent="0.35">
      <c r="G11212" s="15"/>
      <c r="N11212" s="10"/>
      <c r="O11212" s="16"/>
    </row>
    <row r="11213" spans="7:15" x14ac:dyDescent="0.35">
      <c r="G11213" s="15"/>
      <c r="N11213" s="10"/>
      <c r="O11213" s="16"/>
    </row>
    <row r="11214" spans="7:15" x14ac:dyDescent="0.35">
      <c r="G11214" s="15"/>
      <c r="N11214" s="10"/>
      <c r="O11214" s="16"/>
    </row>
    <row r="11215" spans="7:15" x14ac:dyDescent="0.35">
      <c r="G11215" s="15"/>
      <c r="N11215" s="10"/>
      <c r="O11215" s="16"/>
    </row>
    <row r="11216" spans="7:15" x14ac:dyDescent="0.35">
      <c r="G11216" s="15"/>
      <c r="N11216" s="10"/>
      <c r="O11216" s="16"/>
    </row>
    <row r="11217" spans="7:15" x14ac:dyDescent="0.35">
      <c r="G11217" s="15"/>
      <c r="N11217" s="10"/>
      <c r="O11217" s="16"/>
    </row>
    <row r="11218" spans="7:15" x14ac:dyDescent="0.35">
      <c r="G11218" s="15"/>
      <c r="N11218" s="10"/>
      <c r="O11218" s="16"/>
    </row>
    <row r="11219" spans="7:15" x14ac:dyDescent="0.35">
      <c r="G11219" s="15"/>
      <c r="N11219" s="10"/>
      <c r="O11219" s="16"/>
    </row>
    <row r="11220" spans="7:15" x14ac:dyDescent="0.35">
      <c r="G11220" s="15"/>
      <c r="N11220" s="10"/>
      <c r="O11220" s="16"/>
    </row>
    <row r="11221" spans="7:15" x14ac:dyDescent="0.35">
      <c r="G11221" s="15"/>
      <c r="N11221" s="10"/>
      <c r="O11221" s="16"/>
    </row>
    <row r="11222" spans="7:15" x14ac:dyDescent="0.35">
      <c r="G11222" s="15"/>
      <c r="N11222" s="10"/>
      <c r="O11222" s="16"/>
    </row>
    <row r="11223" spans="7:15" x14ac:dyDescent="0.35">
      <c r="G11223" s="15"/>
      <c r="N11223" s="10"/>
      <c r="O11223" s="16"/>
    </row>
    <row r="11224" spans="7:15" x14ac:dyDescent="0.35">
      <c r="G11224" s="15"/>
      <c r="N11224" s="10"/>
      <c r="O11224" s="16"/>
    </row>
    <row r="11225" spans="7:15" x14ac:dyDescent="0.35">
      <c r="G11225" s="15"/>
      <c r="N11225" s="10"/>
      <c r="O11225" s="16"/>
    </row>
    <row r="11226" spans="7:15" x14ac:dyDescent="0.35">
      <c r="G11226" s="15"/>
      <c r="N11226" s="10"/>
      <c r="O11226" s="16"/>
    </row>
    <row r="11227" spans="7:15" x14ac:dyDescent="0.35">
      <c r="G11227" s="15"/>
      <c r="N11227" s="10"/>
      <c r="O11227" s="16"/>
    </row>
    <row r="11228" spans="7:15" x14ac:dyDescent="0.35">
      <c r="G11228" s="15"/>
      <c r="N11228" s="10"/>
      <c r="O11228" s="16"/>
    </row>
    <row r="11229" spans="7:15" x14ac:dyDescent="0.35">
      <c r="G11229" s="15"/>
      <c r="N11229" s="10"/>
      <c r="O11229" s="16"/>
    </row>
    <row r="11230" spans="7:15" x14ac:dyDescent="0.35">
      <c r="G11230" s="15"/>
      <c r="N11230" s="10"/>
      <c r="O11230" s="16"/>
    </row>
    <row r="11231" spans="7:15" x14ac:dyDescent="0.35">
      <c r="G11231" s="15"/>
      <c r="N11231" s="10"/>
      <c r="O11231" s="16"/>
    </row>
    <row r="11232" spans="7:15" x14ac:dyDescent="0.35">
      <c r="G11232" s="15"/>
      <c r="N11232" s="10"/>
      <c r="O11232" s="16"/>
    </row>
    <row r="11233" spans="7:15" x14ac:dyDescent="0.35">
      <c r="G11233" s="15"/>
      <c r="N11233" s="10"/>
      <c r="O11233" s="16"/>
    </row>
    <row r="11234" spans="7:15" x14ac:dyDescent="0.35">
      <c r="G11234" s="15"/>
      <c r="N11234" s="10"/>
      <c r="O11234" s="16"/>
    </row>
    <row r="11235" spans="7:15" x14ac:dyDescent="0.35">
      <c r="G11235" s="15"/>
      <c r="N11235" s="10"/>
      <c r="O11235" s="16"/>
    </row>
    <row r="11236" spans="7:15" x14ac:dyDescent="0.35">
      <c r="G11236" s="15"/>
      <c r="N11236" s="10"/>
      <c r="O11236" s="16"/>
    </row>
    <row r="11237" spans="7:15" x14ac:dyDescent="0.35">
      <c r="G11237" s="15"/>
      <c r="N11237" s="10"/>
      <c r="O11237" s="16"/>
    </row>
    <row r="11238" spans="7:15" x14ac:dyDescent="0.35">
      <c r="G11238" s="15"/>
      <c r="N11238" s="10"/>
      <c r="O11238" s="16"/>
    </row>
    <row r="11239" spans="7:15" x14ac:dyDescent="0.35">
      <c r="G11239" s="15"/>
      <c r="N11239" s="10"/>
      <c r="O11239" s="16"/>
    </row>
    <row r="11240" spans="7:15" x14ac:dyDescent="0.35">
      <c r="G11240" s="15"/>
      <c r="N11240" s="10"/>
      <c r="O11240" s="16"/>
    </row>
    <row r="11241" spans="7:15" x14ac:dyDescent="0.35">
      <c r="G11241" s="15"/>
      <c r="N11241" s="10"/>
      <c r="O11241" s="16"/>
    </row>
    <row r="11242" spans="7:15" x14ac:dyDescent="0.35">
      <c r="G11242" s="15"/>
      <c r="N11242" s="10"/>
      <c r="O11242" s="16"/>
    </row>
    <row r="11243" spans="7:15" x14ac:dyDescent="0.35">
      <c r="G11243" s="15"/>
      <c r="N11243" s="10"/>
      <c r="O11243" s="16"/>
    </row>
    <row r="11244" spans="7:15" x14ac:dyDescent="0.35">
      <c r="G11244" s="15"/>
      <c r="N11244" s="10"/>
      <c r="O11244" s="16"/>
    </row>
    <row r="11245" spans="7:15" x14ac:dyDescent="0.35">
      <c r="G11245" s="15"/>
      <c r="N11245" s="10"/>
      <c r="O11245" s="16"/>
    </row>
    <row r="11246" spans="7:15" x14ac:dyDescent="0.35">
      <c r="G11246" s="15"/>
      <c r="N11246" s="10"/>
      <c r="O11246" s="16"/>
    </row>
    <row r="11247" spans="7:15" x14ac:dyDescent="0.35">
      <c r="G11247" s="15"/>
      <c r="N11247" s="10"/>
      <c r="O11247" s="16"/>
    </row>
    <row r="11248" spans="7:15" x14ac:dyDescent="0.35">
      <c r="G11248" s="15"/>
      <c r="N11248" s="10"/>
      <c r="O11248" s="16"/>
    </row>
    <row r="11249" spans="7:15" x14ac:dyDescent="0.35">
      <c r="G11249" s="15"/>
      <c r="N11249" s="10"/>
      <c r="O11249" s="16"/>
    </row>
    <row r="11250" spans="7:15" x14ac:dyDescent="0.35">
      <c r="G11250" s="15"/>
      <c r="N11250" s="10"/>
      <c r="O11250" s="16"/>
    </row>
    <row r="11251" spans="7:15" x14ac:dyDescent="0.35">
      <c r="G11251" s="15"/>
      <c r="N11251" s="10"/>
      <c r="O11251" s="16"/>
    </row>
    <row r="11252" spans="7:15" x14ac:dyDescent="0.35">
      <c r="G11252" s="15"/>
      <c r="N11252" s="10"/>
      <c r="O11252" s="16"/>
    </row>
    <row r="11253" spans="7:15" x14ac:dyDescent="0.35">
      <c r="G11253" s="15"/>
      <c r="N11253" s="10"/>
      <c r="O11253" s="16"/>
    </row>
    <row r="11254" spans="7:15" x14ac:dyDescent="0.35">
      <c r="G11254" s="15"/>
      <c r="N11254" s="10"/>
      <c r="O11254" s="16"/>
    </row>
    <row r="11255" spans="7:15" x14ac:dyDescent="0.35">
      <c r="G11255" s="15"/>
      <c r="N11255" s="10"/>
      <c r="O11255" s="16"/>
    </row>
    <row r="11256" spans="7:15" x14ac:dyDescent="0.35">
      <c r="G11256" s="15"/>
      <c r="N11256" s="10"/>
      <c r="O11256" s="16"/>
    </row>
    <row r="11257" spans="7:15" x14ac:dyDescent="0.35">
      <c r="G11257" s="15"/>
      <c r="N11257" s="10"/>
      <c r="O11257" s="16"/>
    </row>
    <row r="11258" spans="7:15" x14ac:dyDescent="0.35">
      <c r="G11258" s="15"/>
      <c r="N11258" s="10"/>
      <c r="O11258" s="16"/>
    </row>
    <row r="11259" spans="7:15" x14ac:dyDescent="0.35">
      <c r="G11259" s="15"/>
      <c r="N11259" s="10"/>
      <c r="O11259" s="16"/>
    </row>
    <row r="11260" spans="7:15" x14ac:dyDescent="0.35">
      <c r="G11260" s="15"/>
      <c r="N11260" s="10"/>
      <c r="O11260" s="16"/>
    </row>
    <row r="11261" spans="7:15" x14ac:dyDescent="0.35">
      <c r="G11261" s="15"/>
      <c r="N11261" s="10"/>
      <c r="O11261" s="16"/>
    </row>
    <row r="11262" spans="7:15" x14ac:dyDescent="0.35">
      <c r="G11262" s="15"/>
      <c r="N11262" s="10"/>
      <c r="O11262" s="16"/>
    </row>
    <row r="11263" spans="7:15" x14ac:dyDescent="0.35">
      <c r="G11263" s="15"/>
      <c r="N11263" s="10"/>
      <c r="O11263" s="16"/>
    </row>
    <row r="11264" spans="7:15" x14ac:dyDescent="0.35">
      <c r="G11264" s="15"/>
      <c r="N11264" s="10"/>
      <c r="O11264" s="16"/>
    </row>
    <row r="11265" spans="7:15" x14ac:dyDescent="0.35">
      <c r="G11265" s="15"/>
      <c r="N11265" s="10"/>
      <c r="O11265" s="16"/>
    </row>
    <row r="11266" spans="7:15" x14ac:dyDescent="0.35">
      <c r="G11266" s="15"/>
      <c r="N11266" s="10"/>
      <c r="O11266" s="16"/>
    </row>
    <row r="11267" spans="7:15" x14ac:dyDescent="0.35">
      <c r="G11267" s="15"/>
      <c r="N11267" s="10"/>
      <c r="O11267" s="16"/>
    </row>
    <row r="11268" spans="7:15" x14ac:dyDescent="0.35">
      <c r="G11268" s="15"/>
      <c r="N11268" s="10"/>
      <c r="O11268" s="16"/>
    </row>
    <row r="11269" spans="7:15" x14ac:dyDescent="0.35">
      <c r="G11269" s="15"/>
      <c r="N11269" s="10"/>
      <c r="O11269" s="16"/>
    </row>
    <row r="11270" spans="7:15" x14ac:dyDescent="0.35">
      <c r="G11270" s="15"/>
      <c r="N11270" s="10"/>
      <c r="O11270" s="16"/>
    </row>
    <row r="11271" spans="7:15" x14ac:dyDescent="0.35">
      <c r="G11271" s="15"/>
      <c r="N11271" s="10"/>
      <c r="O11271" s="16"/>
    </row>
    <row r="11272" spans="7:15" x14ac:dyDescent="0.35">
      <c r="G11272" s="15"/>
      <c r="N11272" s="10"/>
      <c r="O11272" s="16"/>
    </row>
    <row r="11273" spans="7:15" x14ac:dyDescent="0.35">
      <c r="G11273" s="15"/>
      <c r="N11273" s="10"/>
      <c r="O11273" s="16"/>
    </row>
    <row r="11274" spans="7:15" x14ac:dyDescent="0.35">
      <c r="G11274" s="15"/>
      <c r="N11274" s="10"/>
      <c r="O11274" s="16"/>
    </row>
    <row r="11275" spans="7:15" x14ac:dyDescent="0.35">
      <c r="G11275" s="15"/>
      <c r="N11275" s="10"/>
      <c r="O11275" s="16"/>
    </row>
    <row r="11276" spans="7:15" x14ac:dyDescent="0.35">
      <c r="G11276" s="15"/>
      <c r="N11276" s="10"/>
      <c r="O11276" s="16"/>
    </row>
    <row r="11277" spans="7:15" x14ac:dyDescent="0.35">
      <c r="G11277" s="15"/>
      <c r="N11277" s="10"/>
      <c r="O11277" s="16"/>
    </row>
    <row r="11278" spans="7:15" x14ac:dyDescent="0.35">
      <c r="G11278" s="15"/>
      <c r="N11278" s="10"/>
      <c r="O11278" s="16"/>
    </row>
    <row r="11279" spans="7:15" x14ac:dyDescent="0.35">
      <c r="G11279" s="15"/>
      <c r="N11279" s="10"/>
      <c r="O11279" s="16"/>
    </row>
    <row r="11280" spans="7:15" x14ac:dyDescent="0.35">
      <c r="G11280" s="15"/>
      <c r="N11280" s="10"/>
      <c r="O11280" s="16"/>
    </row>
    <row r="11281" spans="7:15" x14ac:dyDescent="0.35">
      <c r="G11281" s="15"/>
      <c r="N11281" s="10"/>
      <c r="O11281" s="16"/>
    </row>
    <row r="11282" spans="7:15" x14ac:dyDescent="0.35">
      <c r="G11282" s="15"/>
      <c r="N11282" s="10"/>
      <c r="O11282" s="16"/>
    </row>
    <row r="11283" spans="7:15" x14ac:dyDescent="0.35">
      <c r="G11283" s="15"/>
      <c r="N11283" s="10"/>
      <c r="O11283" s="16"/>
    </row>
    <row r="11284" spans="7:15" x14ac:dyDescent="0.35">
      <c r="G11284" s="15"/>
      <c r="N11284" s="10"/>
      <c r="O11284" s="16"/>
    </row>
    <row r="11285" spans="7:15" x14ac:dyDescent="0.35">
      <c r="G11285" s="15"/>
      <c r="N11285" s="10"/>
      <c r="O11285" s="16"/>
    </row>
    <row r="11286" spans="7:15" x14ac:dyDescent="0.35">
      <c r="G11286" s="15"/>
      <c r="N11286" s="10"/>
      <c r="O11286" s="16"/>
    </row>
    <row r="11287" spans="7:15" x14ac:dyDescent="0.35">
      <c r="G11287" s="15"/>
      <c r="N11287" s="10"/>
      <c r="O11287" s="16"/>
    </row>
    <row r="11288" spans="7:15" x14ac:dyDescent="0.35">
      <c r="G11288" s="15"/>
      <c r="N11288" s="10"/>
      <c r="O11288" s="16"/>
    </row>
    <row r="11289" spans="7:15" x14ac:dyDescent="0.35">
      <c r="G11289" s="15"/>
      <c r="N11289" s="10"/>
      <c r="O11289" s="16"/>
    </row>
    <row r="11290" spans="7:15" x14ac:dyDescent="0.35">
      <c r="G11290" s="15"/>
      <c r="N11290" s="10"/>
      <c r="O11290" s="16"/>
    </row>
    <row r="11291" spans="7:15" x14ac:dyDescent="0.35">
      <c r="G11291" s="15"/>
      <c r="N11291" s="10"/>
      <c r="O11291" s="16"/>
    </row>
    <row r="11292" spans="7:15" x14ac:dyDescent="0.35">
      <c r="G11292" s="15"/>
      <c r="N11292" s="10"/>
      <c r="O11292" s="16"/>
    </row>
    <row r="11293" spans="7:15" x14ac:dyDescent="0.35">
      <c r="G11293" s="15"/>
      <c r="N11293" s="10"/>
      <c r="O11293" s="16"/>
    </row>
    <row r="11294" spans="7:15" x14ac:dyDescent="0.35">
      <c r="G11294" s="15"/>
      <c r="N11294" s="10"/>
      <c r="O11294" s="16"/>
    </row>
    <row r="11295" spans="7:15" x14ac:dyDescent="0.35">
      <c r="G11295" s="15"/>
      <c r="N11295" s="10"/>
      <c r="O11295" s="16"/>
    </row>
    <row r="11296" spans="7:15" x14ac:dyDescent="0.35">
      <c r="G11296" s="15"/>
      <c r="N11296" s="10"/>
      <c r="O11296" s="16"/>
    </row>
    <row r="11297" spans="7:15" x14ac:dyDescent="0.35">
      <c r="G11297" s="15"/>
      <c r="N11297" s="10"/>
      <c r="O11297" s="16"/>
    </row>
    <row r="11298" spans="7:15" x14ac:dyDescent="0.35">
      <c r="G11298" s="15"/>
      <c r="N11298" s="10"/>
      <c r="O11298" s="16"/>
    </row>
    <row r="11299" spans="7:15" x14ac:dyDescent="0.35">
      <c r="G11299" s="15"/>
      <c r="N11299" s="10"/>
      <c r="O11299" s="16"/>
    </row>
    <row r="11300" spans="7:15" x14ac:dyDescent="0.35">
      <c r="G11300" s="15"/>
      <c r="N11300" s="10"/>
      <c r="O11300" s="16"/>
    </row>
    <row r="11301" spans="7:15" x14ac:dyDescent="0.35">
      <c r="G11301" s="15"/>
      <c r="N11301" s="10"/>
      <c r="O11301" s="16"/>
    </row>
    <row r="11302" spans="7:15" x14ac:dyDescent="0.35">
      <c r="G11302" s="15"/>
      <c r="N11302" s="10"/>
      <c r="O11302" s="16"/>
    </row>
    <row r="11303" spans="7:15" x14ac:dyDescent="0.35">
      <c r="G11303" s="15"/>
      <c r="N11303" s="10"/>
      <c r="O11303" s="16"/>
    </row>
    <row r="11304" spans="7:15" x14ac:dyDescent="0.35">
      <c r="G11304" s="15"/>
      <c r="N11304" s="10"/>
      <c r="O11304" s="16"/>
    </row>
    <row r="11305" spans="7:15" x14ac:dyDescent="0.35">
      <c r="G11305" s="15"/>
      <c r="N11305" s="10"/>
      <c r="O11305" s="16"/>
    </row>
    <row r="11306" spans="7:15" x14ac:dyDescent="0.35">
      <c r="G11306" s="15"/>
      <c r="N11306" s="10"/>
      <c r="O11306" s="16"/>
    </row>
    <row r="11307" spans="7:15" x14ac:dyDescent="0.35">
      <c r="G11307" s="15"/>
      <c r="N11307" s="10"/>
      <c r="O11307" s="16"/>
    </row>
    <row r="11308" spans="7:15" x14ac:dyDescent="0.35">
      <c r="G11308" s="15"/>
      <c r="N11308" s="10"/>
      <c r="O11308" s="16"/>
    </row>
    <row r="11309" spans="7:15" x14ac:dyDescent="0.35">
      <c r="G11309" s="15"/>
      <c r="N11309" s="10"/>
      <c r="O11309" s="16"/>
    </row>
    <row r="11310" spans="7:15" x14ac:dyDescent="0.35">
      <c r="G11310" s="15"/>
      <c r="N11310" s="10"/>
      <c r="O11310" s="16"/>
    </row>
    <row r="11311" spans="7:15" x14ac:dyDescent="0.35">
      <c r="G11311" s="15"/>
      <c r="N11311" s="10"/>
      <c r="O11311" s="16"/>
    </row>
    <row r="11312" spans="7:15" x14ac:dyDescent="0.35">
      <c r="G11312" s="15"/>
      <c r="N11312" s="10"/>
      <c r="O11312" s="16"/>
    </row>
    <row r="11313" spans="7:17" x14ac:dyDescent="0.35">
      <c r="G11313" s="15"/>
      <c r="N11313" s="10"/>
      <c r="O11313" s="16"/>
    </row>
    <row r="11314" spans="7:17" x14ac:dyDescent="0.35">
      <c r="G11314" s="15"/>
      <c r="N11314" s="10"/>
      <c r="O11314" s="16"/>
    </row>
    <row r="11315" spans="7:17" x14ac:dyDescent="0.35">
      <c r="G11315" s="15"/>
      <c r="N11315" s="10"/>
      <c r="O11315" s="16"/>
    </row>
    <row r="11316" spans="7:17" x14ac:dyDescent="0.35">
      <c r="G11316" s="15"/>
      <c r="N11316" s="10"/>
      <c r="O11316" s="16"/>
    </row>
    <row r="11317" spans="7:17" x14ac:dyDescent="0.35">
      <c r="G11317" s="15"/>
      <c r="N11317" s="10"/>
      <c r="O11317" s="16"/>
    </row>
    <row r="11318" spans="7:17" x14ac:dyDescent="0.35">
      <c r="G11318" s="15"/>
      <c r="N11318" s="10"/>
      <c r="O11318" s="16"/>
    </row>
    <row r="11319" spans="7:17" x14ac:dyDescent="0.35">
      <c r="G11319" s="15"/>
      <c r="N11319" s="10"/>
      <c r="O11319" s="16"/>
    </row>
    <row r="11320" spans="7:17" x14ac:dyDescent="0.35">
      <c r="G11320" s="15"/>
      <c r="N11320" s="10"/>
      <c r="O11320" s="16"/>
    </row>
    <row r="11321" spans="7:17" x14ac:dyDescent="0.35">
      <c r="G11321" s="15"/>
      <c r="N11321" s="10"/>
      <c r="O11321" s="16"/>
    </row>
    <row r="11322" spans="7:17" x14ac:dyDescent="0.35">
      <c r="G11322" s="15"/>
      <c r="N11322" s="10"/>
      <c r="O11322" s="16"/>
    </row>
    <row r="11323" spans="7:17" x14ac:dyDescent="0.35">
      <c r="G11323" s="15"/>
      <c r="N11323" s="10"/>
      <c r="O11323" s="16"/>
    </row>
    <row r="11324" spans="7:17" x14ac:dyDescent="0.35">
      <c r="G11324" s="15"/>
      <c r="N11324" s="10"/>
      <c r="O11324" s="16"/>
    </row>
    <row r="11325" spans="7:17" x14ac:dyDescent="0.35">
      <c r="G11325" s="15"/>
      <c r="N11325" s="10"/>
      <c r="O11325" s="16"/>
    </row>
    <row r="11326" spans="7:17" x14ac:dyDescent="0.35">
      <c r="G11326" s="15"/>
      <c r="N11326" s="10"/>
      <c r="O11326" s="16"/>
    </row>
    <row r="11327" spans="7:17" x14ac:dyDescent="0.35">
      <c r="G11327" s="15"/>
      <c r="N11327" s="10"/>
      <c r="O11327" s="16"/>
      <c r="Q11327" s="17"/>
    </row>
    <row r="11328" spans="7:17" x14ac:dyDescent="0.35">
      <c r="G11328" s="15"/>
      <c r="N11328" s="10"/>
      <c r="O11328" s="16"/>
    </row>
    <row r="11329" spans="7:17" x14ac:dyDescent="0.35">
      <c r="G11329" s="15"/>
      <c r="N11329" s="10"/>
      <c r="O11329" s="16"/>
    </row>
    <row r="11330" spans="7:17" x14ac:dyDescent="0.35">
      <c r="G11330" s="15"/>
      <c r="N11330" s="10"/>
      <c r="O11330" s="16"/>
    </row>
    <row r="11331" spans="7:17" x14ac:dyDescent="0.35">
      <c r="G11331" s="15"/>
      <c r="N11331" s="10"/>
      <c r="O11331" s="16"/>
      <c r="Q11331" s="17"/>
    </row>
    <row r="11332" spans="7:17" x14ac:dyDescent="0.35">
      <c r="G11332" s="15"/>
      <c r="N11332" s="10"/>
      <c r="O11332" s="16"/>
    </row>
    <row r="11333" spans="7:17" x14ac:dyDescent="0.35">
      <c r="G11333" s="15"/>
      <c r="N11333" s="10"/>
      <c r="O11333" s="16"/>
    </row>
    <row r="11334" spans="7:17" x14ac:dyDescent="0.35">
      <c r="G11334" s="15"/>
      <c r="N11334" s="10"/>
      <c r="O11334" s="16"/>
    </row>
    <row r="11335" spans="7:17" x14ac:dyDescent="0.35">
      <c r="G11335" s="15"/>
      <c r="N11335" s="10"/>
      <c r="O11335" s="16"/>
    </row>
    <row r="11336" spans="7:17" x14ac:dyDescent="0.35">
      <c r="G11336" s="15"/>
      <c r="N11336" s="10"/>
      <c r="O11336" s="16"/>
    </row>
    <row r="11337" spans="7:17" x14ac:dyDescent="0.35">
      <c r="G11337" s="15"/>
      <c r="N11337" s="10"/>
      <c r="O11337" s="16"/>
    </row>
    <row r="11338" spans="7:17" x14ac:dyDescent="0.35">
      <c r="G11338" s="15"/>
      <c r="N11338" s="10"/>
      <c r="O11338" s="16"/>
    </row>
    <row r="11339" spans="7:17" x14ac:dyDescent="0.35">
      <c r="G11339" s="15"/>
      <c r="N11339" s="10"/>
      <c r="O11339" s="16"/>
    </row>
    <row r="11340" spans="7:17" x14ac:dyDescent="0.35">
      <c r="G11340" s="15"/>
      <c r="N11340" s="10"/>
      <c r="O11340" s="16"/>
    </row>
    <row r="11341" spans="7:17" x14ac:dyDescent="0.35">
      <c r="G11341" s="15"/>
      <c r="N11341" s="10"/>
      <c r="O11341" s="16"/>
    </row>
    <row r="11342" spans="7:17" x14ac:dyDescent="0.35">
      <c r="G11342" s="15"/>
      <c r="N11342" s="10"/>
      <c r="O11342" s="16"/>
    </row>
    <row r="11343" spans="7:17" x14ac:dyDescent="0.35">
      <c r="G11343" s="15"/>
      <c r="N11343" s="10"/>
      <c r="O11343" s="16"/>
    </row>
    <row r="11344" spans="7:17" x14ac:dyDescent="0.35">
      <c r="G11344" s="15"/>
      <c r="N11344" s="10"/>
      <c r="O11344" s="16"/>
    </row>
    <row r="11345" spans="7:15" x14ac:dyDescent="0.35">
      <c r="G11345" s="15"/>
      <c r="N11345" s="10"/>
      <c r="O11345" s="16"/>
    </row>
    <row r="11346" spans="7:15" x14ac:dyDescent="0.35">
      <c r="G11346" s="15"/>
      <c r="N11346" s="10"/>
      <c r="O11346" s="16"/>
    </row>
    <row r="11347" spans="7:15" x14ac:dyDescent="0.35">
      <c r="G11347" s="15"/>
      <c r="N11347" s="10"/>
      <c r="O11347" s="16"/>
    </row>
    <row r="11348" spans="7:15" x14ac:dyDescent="0.35">
      <c r="G11348" s="15"/>
      <c r="N11348" s="10"/>
      <c r="O11348" s="16"/>
    </row>
    <row r="11349" spans="7:15" x14ac:dyDescent="0.35">
      <c r="G11349" s="15"/>
      <c r="N11349" s="10"/>
      <c r="O11349" s="16"/>
    </row>
    <row r="11350" spans="7:15" x14ac:dyDescent="0.35">
      <c r="G11350" s="15"/>
      <c r="N11350" s="10"/>
      <c r="O11350" s="16"/>
    </row>
    <row r="11351" spans="7:15" x14ac:dyDescent="0.35">
      <c r="G11351" s="15"/>
      <c r="N11351" s="10"/>
      <c r="O11351" s="16"/>
    </row>
    <row r="11352" spans="7:15" x14ac:dyDescent="0.35">
      <c r="G11352" s="15"/>
      <c r="N11352" s="10"/>
      <c r="O11352" s="16"/>
    </row>
    <row r="11353" spans="7:15" x14ac:dyDescent="0.35">
      <c r="G11353" s="15"/>
      <c r="N11353" s="10"/>
      <c r="O11353" s="16"/>
    </row>
    <row r="11354" spans="7:15" x14ac:dyDescent="0.35">
      <c r="G11354" s="15"/>
      <c r="N11354" s="10"/>
      <c r="O11354" s="16"/>
    </row>
    <row r="11355" spans="7:15" x14ac:dyDescent="0.35">
      <c r="G11355" s="15"/>
      <c r="N11355" s="10"/>
      <c r="O11355" s="16"/>
    </row>
    <row r="11356" spans="7:15" x14ac:dyDescent="0.35">
      <c r="G11356" s="15"/>
      <c r="N11356" s="10"/>
      <c r="O11356" s="16"/>
    </row>
    <row r="11357" spans="7:15" x14ac:dyDescent="0.35">
      <c r="G11357" s="15"/>
      <c r="N11357" s="10"/>
      <c r="O11357" s="16"/>
    </row>
    <row r="11358" spans="7:15" x14ac:dyDescent="0.35">
      <c r="G11358" s="15"/>
      <c r="N11358" s="10"/>
      <c r="O11358" s="16"/>
    </row>
    <row r="11359" spans="7:15" x14ac:dyDescent="0.35">
      <c r="G11359" s="15"/>
      <c r="N11359" s="10"/>
      <c r="O11359" s="16"/>
    </row>
    <row r="11360" spans="7:15" x14ac:dyDescent="0.35">
      <c r="G11360" s="15"/>
      <c r="N11360" s="10"/>
      <c r="O11360" s="16"/>
    </row>
    <row r="11361" spans="7:17" x14ac:dyDescent="0.35">
      <c r="G11361" s="15"/>
      <c r="N11361" s="10"/>
      <c r="O11361" s="16"/>
    </row>
    <row r="11362" spans="7:17" x14ac:dyDescent="0.35">
      <c r="G11362" s="15"/>
      <c r="N11362" s="10"/>
      <c r="O11362" s="16"/>
    </row>
    <row r="11363" spans="7:17" x14ac:dyDescent="0.35">
      <c r="G11363" s="15"/>
      <c r="N11363" s="10"/>
      <c r="O11363" s="16"/>
    </row>
    <row r="11364" spans="7:17" x14ac:dyDescent="0.35">
      <c r="G11364" s="15"/>
      <c r="N11364" s="10"/>
      <c r="O11364" s="16"/>
      <c r="Q11364" s="17"/>
    </row>
    <row r="11365" spans="7:17" x14ac:dyDescent="0.35">
      <c r="G11365" s="15"/>
      <c r="N11365" s="10"/>
      <c r="O11365" s="16"/>
      <c r="Q11365" s="17"/>
    </row>
    <row r="11366" spans="7:17" x14ac:dyDescent="0.35">
      <c r="G11366" s="15"/>
      <c r="N11366" s="10"/>
      <c r="O11366" s="16"/>
      <c r="Q11366" s="17"/>
    </row>
    <row r="11367" spans="7:17" x14ac:dyDescent="0.35">
      <c r="G11367" s="15"/>
      <c r="N11367" s="10"/>
      <c r="O11367" s="16"/>
    </row>
    <row r="11368" spans="7:17" x14ac:dyDescent="0.35">
      <c r="G11368" s="15"/>
      <c r="N11368" s="10"/>
      <c r="O11368" s="16"/>
    </row>
    <row r="11369" spans="7:17" x14ac:dyDescent="0.35">
      <c r="G11369" s="15"/>
      <c r="N11369" s="10"/>
      <c r="O11369" s="16"/>
    </row>
    <row r="11370" spans="7:17" x14ac:dyDescent="0.35">
      <c r="G11370" s="15"/>
      <c r="N11370" s="10"/>
      <c r="O11370" s="16"/>
    </row>
    <row r="11371" spans="7:17" x14ac:dyDescent="0.35">
      <c r="G11371" s="15"/>
      <c r="N11371" s="10"/>
      <c r="O11371" s="16"/>
    </row>
    <row r="11372" spans="7:17" x14ac:dyDescent="0.35">
      <c r="G11372" s="15"/>
      <c r="N11372" s="10"/>
      <c r="O11372" s="16"/>
    </row>
    <row r="11373" spans="7:17" x14ac:dyDescent="0.35">
      <c r="G11373" s="15"/>
      <c r="N11373" s="10"/>
      <c r="O11373" s="16"/>
    </row>
    <row r="11374" spans="7:17" x14ac:dyDescent="0.35">
      <c r="G11374" s="15"/>
      <c r="N11374" s="10"/>
      <c r="O11374" s="16"/>
    </row>
    <row r="11375" spans="7:17" x14ac:dyDescent="0.35">
      <c r="G11375" s="15"/>
      <c r="N11375" s="10"/>
      <c r="O11375" s="16"/>
    </row>
    <row r="11376" spans="7:17" x14ac:dyDescent="0.35">
      <c r="G11376" s="15"/>
      <c r="N11376" s="10"/>
      <c r="O11376" s="16"/>
    </row>
    <row r="11377" spans="7:15" x14ac:dyDescent="0.35">
      <c r="G11377" s="15"/>
      <c r="N11377" s="10"/>
      <c r="O11377" s="16"/>
    </row>
    <row r="11378" spans="7:15" x14ac:dyDescent="0.35">
      <c r="G11378" s="15"/>
      <c r="N11378" s="10"/>
      <c r="O11378" s="16"/>
    </row>
    <row r="11379" spans="7:15" x14ac:dyDescent="0.35">
      <c r="G11379" s="15"/>
      <c r="N11379" s="10"/>
      <c r="O11379" s="16"/>
    </row>
    <row r="11380" spans="7:15" x14ac:dyDescent="0.35">
      <c r="G11380" s="15"/>
      <c r="N11380" s="10"/>
      <c r="O11380" s="16"/>
    </row>
    <row r="11381" spans="7:15" x14ac:dyDescent="0.35">
      <c r="G11381" s="15"/>
      <c r="N11381" s="10"/>
      <c r="O11381" s="16"/>
    </row>
    <row r="11382" spans="7:15" x14ac:dyDescent="0.35">
      <c r="G11382" s="15"/>
      <c r="N11382" s="10"/>
      <c r="O11382" s="16"/>
    </row>
    <row r="11383" spans="7:15" x14ac:dyDescent="0.35">
      <c r="G11383" s="15"/>
      <c r="N11383" s="10"/>
      <c r="O11383" s="16"/>
    </row>
    <row r="11384" spans="7:15" x14ac:dyDescent="0.35">
      <c r="G11384" s="15"/>
      <c r="N11384" s="10"/>
      <c r="O11384" s="16"/>
    </row>
    <row r="11385" spans="7:15" x14ac:dyDescent="0.35">
      <c r="G11385" s="15"/>
      <c r="N11385" s="10"/>
      <c r="O11385" s="16"/>
    </row>
    <row r="11386" spans="7:15" x14ac:dyDescent="0.35">
      <c r="G11386" s="15"/>
      <c r="N11386" s="10"/>
      <c r="O11386" s="16"/>
    </row>
    <row r="11387" spans="7:15" x14ac:dyDescent="0.35">
      <c r="G11387" s="15"/>
      <c r="N11387" s="10"/>
      <c r="O11387" s="16"/>
    </row>
    <row r="11388" spans="7:15" x14ac:dyDescent="0.35">
      <c r="G11388" s="15"/>
      <c r="N11388" s="10"/>
      <c r="O11388" s="16"/>
    </row>
    <row r="11389" spans="7:15" x14ac:dyDescent="0.35">
      <c r="G11389" s="15"/>
      <c r="N11389" s="10"/>
      <c r="O11389" s="16"/>
    </row>
    <row r="11390" spans="7:15" x14ac:dyDescent="0.35">
      <c r="G11390" s="15"/>
      <c r="N11390" s="10"/>
      <c r="O11390" s="16"/>
    </row>
    <row r="11391" spans="7:15" x14ac:dyDescent="0.35">
      <c r="G11391" s="15"/>
      <c r="N11391" s="10"/>
      <c r="O11391" s="16"/>
    </row>
    <row r="11392" spans="7:15" x14ac:dyDescent="0.35">
      <c r="G11392" s="15"/>
      <c r="N11392" s="10"/>
      <c r="O11392" s="16"/>
    </row>
    <row r="11393" spans="7:17" x14ac:dyDescent="0.35">
      <c r="G11393" s="15"/>
      <c r="N11393" s="10"/>
      <c r="O11393" s="16"/>
      <c r="Q11393" s="17"/>
    </row>
    <row r="11394" spans="7:17" x14ac:dyDescent="0.35">
      <c r="G11394" s="15"/>
      <c r="N11394" s="10"/>
      <c r="O11394" s="16"/>
      <c r="Q11394" s="17"/>
    </row>
    <row r="11395" spans="7:17" x14ac:dyDescent="0.35">
      <c r="G11395" s="15"/>
      <c r="N11395" s="10"/>
      <c r="O11395" s="16"/>
      <c r="Q11395" s="17"/>
    </row>
    <row r="11396" spans="7:17" x14ac:dyDescent="0.35">
      <c r="G11396" s="15"/>
      <c r="N11396" s="10"/>
      <c r="O11396" s="16"/>
      <c r="Q11396" s="17"/>
    </row>
    <row r="11397" spans="7:17" x14ac:dyDescent="0.35">
      <c r="G11397" s="15"/>
      <c r="N11397" s="10"/>
      <c r="O11397" s="16"/>
    </row>
    <row r="11398" spans="7:17" x14ac:dyDescent="0.35">
      <c r="G11398" s="15"/>
      <c r="N11398" s="10"/>
      <c r="O11398" s="16"/>
    </row>
    <row r="11399" spans="7:17" x14ac:dyDescent="0.35">
      <c r="G11399" s="15"/>
      <c r="N11399" s="10"/>
      <c r="O11399" s="16"/>
    </row>
    <row r="11400" spans="7:17" x14ac:dyDescent="0.35">
      <c r="G11400" s="15"/>
      <c r="N11400" s="10"/>
      <c r="O11400" s="16"/>
    </row>
    <row r="11401" spans="7:17" x14ac:dyDescent="0.35">
      <c r="G11401" s="15"/>
      <c r="N11401" s="10"/>
      <c r="O11401" s="16"/>
    </row>
    <row r="11402" spans="7:17" x14ac:dyDescent="0.35">
      <c r="G11402" s="15"/>
      <c r="N11402" s="10"/>
      <c r="O11402" s="16"/>
    </row>
    <row r="11403" spans="7:17" x14ac:dyDescent="0.35">
      <c r="G11403" s="15"/>
      <c r="N11403" s="10"/>
      <c r="O11403" s="16"/>
    </row>
    <row r="11404" spans="7:17" x14ac:dyDescent="0.35">
      <c r="G11404" s="15"/>
      <c r="N11404" s="10"/>
      <c r="O11404" s="16"/>
    </row>
    <row r="11405" spans="7:17" x14ac:dyDescent="0.35">
      <c r="G11405" s="15"/>
      <c r="N11405" s="10"/>
      <c r="O11405" s="16"/>
    </row>
    <row r="11406" spans="7:17" x14ac:dyDescent="0.35">
      <c r="G11406" s="15"/>
      <c r="N11406" s="10"/>
      <c r="O11406" s="16"/>
    </row>
    <row r="11407" spans="7:17" x14ac:dyDescent="0.35">
      <c r="G11407" s="15"/>
      <c r="N11407" s="10"/>
      <c r="O11407" s="16"/>
    </row>
    <row r="11408" spans="7:17" x14ac:dyDescent="0.35">
      <c r="G11408" s="15"/>
      <c r="N11408" s="10"/>
      <c r="O11408" s="16"/>
    </row>
    <row r="11409" spans="7:15" x14ac:dyDescent="0.35">
      <c r="G11409" s="15"/>
      <c r="N11409" s="10"/>
      <c r="O11409" s="16"/>
    </row>
    <row r="11410" spans="7:15" x14ac:dyDescent="0.35">
      <c r="G11410" s="15"/>
      <c r="N11410" s="10"/>
      <c r="O11410" s="16"/>
    </row>
    <row r="11411" spans="7:15" x14ac:dyDescent="0.35">
      <c r="G11411" s="15"/>
      <c r="N11411" s="10"/>
      <c r="O11411" s="16"/>
    </row>
    <row r="11412" spans="7:15" x14ac:dyDescent="0.35">
      <c r="G11412" s="15"/>
      <c r="N11412" s="10"/>
      <c r="O11412" s="16"/>
    </row>
    <row r="11413" spans="7:15" x14ac:dyDescent="0.35">
      <c r="G11413" s="15"/>
      <c r="N11413" s="10"/>
      <c r="O11413" s="16"/>
    </row>
    <row r="11414" spans="7:15" x14ac:dyDescent="0.35">
      <c r="G11414" s="15"/>
      <c r="N11414" s="10"/>
      <c r="O11414" s="16"/>
    </row>
    <row r="11415" spans="7:15" x14ac:dyDescent="0.35">
      <c r="G11415" s="15"/>
      <c r="N11415" s="10"/>
      <c r="O11415" s="16"/>
    </row>
    <row r="11416" spans="7:15" x14ac:dyDescent="0.35">
      <c r="G11416" s="15"/>
      <c r="N11416" s="10"/>
      <c r="O11416" s="16"/>
    </row>
    <row r="11417" spans="7:15" x14ac:dyDescent="0.35">
      <c r="G11417" s="15"/>
      <c r="N11417" s="10"/>
      <c r="O11417" s="16"/>
    </row>
    <row r="11418" spans="7:15" x14ac:dyDescent="0.35">
      <c r="G11418" s="15"/>
      <c r="N11418" s="10"/>
      <c r="O11418" s="16"/>
    </row>
    <row r="11419" spans="7:15" x14ac:dyDescent="0.35">
      <c r="G11419" s="15"/>
      <c r="N11419" s="10"/>
      <c r="O11419" s="16"/>
    </row>
    <row r="11420" spans="7:15" x14ac:dyDescent="0.35">
      <c r="G11420" s="15"/>
      <c r="N11420" s="10"/>
      <c r="O11420" s="16"/>
    </row>
    <row r="11421" spans="7:15" x14ac:dyDescent="0.35">
      <c r="G11421" s="15"/>
      <c r="N11421" s="10"/>
      <c r="O11421" s="16"/>
    </row>
    <row r="11422" spans="7:15" x14ac:dyDescent="0.35">
      <c r="G11422" s="15"/>
      <c r="N11422" s="10"/>
      <c r="O11422" s="16"/>
    </row>
    <row r="11423" spans="7:15" x14ac:dyDescent="0.35">
      <c r="G11423" s="15"/>
      <c r="N11423" s="10"/>
      <c r="O11423" s="16"/>
    </row>
    <row r="11424" spans="7:15" x14ac:dyDescent="0.35">
      <c r="G11424" s="15"/>
      <c r="N11424" s="10"/>
      <c r="O11424" s="16"/>
    </row>
    <row r="11425" spans="7:15" x14ac:dyDescent="0.35">
      <c r="G11425" s="15"/>
      <c r="N11425" s="10"/>
      <c r="O11425" s="16"/>
    </row>
    <row r="11426" spans="7:15" x14ac:dyDescent="0.35">
      <c r="G11426" s="15"/>
      <c r="N11426" s="10"/>
      <c r="O11426" s="16"/>
    </row>
    <row r="11427" spans="7:15" x14ac:dyDescent="0.35">
      <c r="G11427" s="15"/>
      <c r="N11427" s="10"/>
      <c r="O11427" s="16"/>
    </row>
    <row r="11428" spans="7:15" x14ac:dyDescent="0.35">
      <c r="G11428" s="15"/>
      <c r="N11428" s="10"/>
      <c r="O11428" s="16"/>
    </row>
    <row r="11429" spans="7:15" x14ac:dyDescent="0.35">
      <c r="G11429" s="15"/>
      <c r="N11429" s="10"/>
      <c r="O11429" s="16"/>
    </row>
    <row r="11430" spans="7:15" x14ac:dyDescent="0.35">
      <c r="G11430" s="15"/>
      <c r="N11430" s="10"/>
      <c r="O11430" s="16"/>
    </row>
    <row r="11431" spans="7:15" x14ac:dyDescent="0.35">
      <c r="G11431" s="15"/>
      <c r="N11431" s="10"/>
      <c r="O11431" s="16"/>
    </row>
    <row r="11432" spans="7:15" x14ac:dyDescent="0.35">
      <c r="G11432" s="15"/>
      <c r="N11432" s="10"/>
      <c r="O11432" s="16"/>
    </row>
    <row r="11433" spans="7:15" x14ac:dyDescent="0.35">
      <c r="G11433" s="15"/>
      <c r="N11433" s="10"/>
      <c r="O11433" s="16"/>
    </row>
    <row r="11434" spans="7:15" x14ac:dyDescent="0.35">
      <c r="G11434" s="15"/>
      <c r="N11434" s="10"/>
      <c r="O11434" s="16"/>
    </row>
    <row r="11435" spans="7:15" x14ac:dyDescent="0.35">
      <c r="G11435" s="15"/>
      <c r="N11435" s="10"/>
      <c r="O11435" s="16"/>
    </row>
    <row r="11436" spans="7:15" x14ac:dyDescent="0.35">
      <c r="G11436" s="15"/>
      <c r="N11436" s="10"/>
      <c r="O11436" s="16"/>
    </row>
    <row r="11437" spans="7:15" x14ac:dyDescent="0.35">
      <c r="G11437" s="15"/>
      <c r="N11437" s="10"/>
      <c r="O11437" s="16"/>
    </row>
    <row r="11438" spans="7:15" x14ac:dyDescent="0.35">
      <c r="G11438" s="15"/>
      <c r="N11438" s="10"/>
      <c r="O11438" s="16"/>
    </row>
    <row r="11439" spans="7:15" x14ac:dyDescent="0.35">
      <c r="G11439" s="15"/>
      <c r="N11439" s="10"/>
      <c r="O11439" s="16"/>
    </row>
    <row r="11440" spans="7:15" x14ac:dyDescent="0.35">
      <c r="G11440" s="15"/>
      <c r="N11440" s="10"/>
      <c r="O11440" s="16"/>
    </row>
    <row r="11441" spans="7:15" x14ac:dyDescent="0.35">
      <c r="G11441" s="15"/>
      <c r="N11441" s="10"/>
      <c r="O11441" s="16"/>
    </row>
    <row r="11442" spans="7:15" x14ac:dyDescent="0.35">
      <c r="G11442" s="15"/>
      <c r="N11442" s="10"/>
      <c r="O11442" s="16"/>
    </row>
    <row r="11443" spans="7:15" x14ac:dyDescent="0.35">
      <c r="G11443" s="15"/>
      <c r="N11443" s="10"/>
      <c r="O11443" s="16"/>
    </row>
    <row r="11444" spans="7:15" x14ac:dyDescent="0.35">
      <c r="G11444" s="15"/>
      <c r="N11444" s="10"/>
      <c r="O11444" s="16"/>
    </row>
    <row r="11445" spans="7:15" x14ac:dyDescent="0.35">
      <c r="G11445" s="15"/>
      <c r="N11445" s="10"/>
      <c r="O11445" s="16"/>
    </row>
    <row r="11446" spans="7:15" x14ac:dyDescent="0.35">
      <c r="G11446" s="15"/>
      <c r="N11446" s="10"/>
      <c r="O11446" s="16"/>
    </row>
    <row r="11447" spans="7:15" x14ac:dyDescent="0.35">
      <c r="G11447" s="15"/>
      <c r="N11447" s="10"/>
      <c r="O11447" s="16"/>
    </row>
    <row r="11448" spans="7:15" x14ac:dyDescent="0.35">
      <c r="G11448" s="15"/>
      <c r="N11448" s="10"/>
      <c r="O11448" s="16"/>
    </row>
    <row r="11449" spans="7:15" x14ac:dyDescent="0.35">
      <c r="G11449" s="15"/>
      <c r="N11449" s="10"/>
      <c r="O11449" s="16"/>
    </row>
    <row r="11450" spans="7:15" x14ac:dyDescent="0.35">
      <c r="G11450" s="15"/>
      <c r="N11450" s="10"/>
      <c r="O11450" s="16"/>
    </row>
    <row r="11451" spans="7:15" x14ac:dyDescent="0.35">
      <c r="G11451" s="15"/>
      <c r="N11451" s="10"/>
      <c r="O11451" s="16"/>
    </row>
    <row r="11452" spans="7:15" x14ac:dyDescent="0.35">
      <c r="G11452" s="15"/>
      <c r="N11452" s="10"/>
      <c r="O11452" s="16"/>
    </row>
    <row r="11453" spans="7:15" x14ac:dyDescent="0.35">
      <c r="G11453" s="15"/>
      <c r="N11453" s="10"/>
      <c r="O11453" s="16"/>
    </row>
    <row r="11454" spans="7:15" x14ac:dyDescent="0.35">
      <c r="G11454" s="15"/>
      <c r="N11454" s="10"/>
      <c r="O11454" s="16"/>
    </row>
    <row r="11455" spans="7:15" x14ac:dyDescent="0.35">
      <c r="G11455" s="15"/>
      <c r="N11455" s="10"/>
      <c r="O11455" s="16"/>
    </row>
    <row r="11456" spans="7:15" x14ac:dyDescent="0.35">
      <c r="G11456" s="15"/>
      <c r="N11456" s="10"/>
      <c r="O11456" s="16"/>
    </row>
    <row r="11457" spans="7:15" x14ac:dyDescent="0.35">
      <c r="G11457" s="15"/>
      <c r="N11457" s="10"/>
      <c r="O11457" s="16"/>
    </row>
    <row r="11458" spans="7:15" x14ac:dyDescent="0.35">
      <c r="G11458" s="15"/>
      <c r="N11458" s="10"/>
      <c r="O11458" s="16"/>
    </row>
    <row r="11459" spans="7:15" x14ac:dyDescent="0.35">
      <c r="G11459" s="15"/>
      <c r="N11459" s="10"/>
      <c r="O11459" s="16"/>
    </row>
    <row r="11460" spans="7:15" x14ac:dyDescent="0.35">
      <c r="G11460" s="15"/>
      <c r="N11460" s="10"/>
      <c r="O11460" s="16"/>
    </row>
    <row r="11461" spans="7:15" x14ac:dyDescent="0.35">
      <c r="G11461" s="15"/>
      <c r="N11461" s="10"/>
      <c r="O11461" s="16"/>
    </row>
    <row r="11462" spans="7:15" x14ac:dyDescent="0.35">
      <c r="G11462" s="15"/>
      <c r="N11462" s="10"/>
      <c r="O11462" s="16"/>
    </row>
    <row r="11463" spans="7:15" x14ac:dyDescent="0.35">
      <c r="G11463" s="15"/>
      <c r="N11463" s="10"/>
      <c r="O11463" s="16"/>
    </row>
    <row r="11464" spans="7:15" x14ac:dyDescent="0.35">
      <c r="G11464" s="15"/>
      <c r="N11464" s="10"/>
      <c r="O11464" s="16"/>
    </row>
    <row r="11465" spans="7:15" x14ac:dyDescent="0.35">
      <c r="G11465" s="15"/>
      <c r="N11465" s="10"/>
      <c r="O11465" s="16"/>
    </row>
    <row r="11466" spans="7:15" x14ac:dyDescent="0.35">
      <c r="G11466" s="15"/>
      <c r="N11466" s="10"/>
      <c r="O11466" s="16"/>
    </row>
    <row r="11467" spans="7:15" x14ac:dyDescent="0.35">
      <c r="G11467" s="15"/>
      <c r="N11467" s="10"/>
      <c r="O11467" s="16"/>
    </row>
    <row r="11468" spans="7:15" x14ac:dyDescent="0.35">
      <c r="G11468" s="15"/>
      <c r="N11468" s="10"/>
      <c r="O11468" s="16"/>
    </row>
    <row r="11469" spans="7:15" x14ac:dyDescent="0.35">
      <c r="G11469" s="15"/>
      <c r="N11469" s="10"/>
      <c r="O11469" s="16"/>
    </row>
    <row r="11470" spans="7:15" x14ac:dyDescent="0.35">
      <c r="G11470" s="15"/>
      <c r="N11470" s="10"/>
      <c r="O11470" s="16"/>
    </row>
    <row r="11471" spans="7:15" x14ac:dyDescent="0.35">
      <c r="G11471" s="15"/>
      <c r="N11471" s="10"/>
      <c r="O11471" s="16"/>
    </row>
    <row r="11472" spans="7:15" x14ac:dyDescent="0.35">
      <c r="G11472" s="15"/>
      <c r="N11472" s="10"/>
      <c r="O11472" s="16"/>
    </row>
    <row r="11473" spans="7:15" x14ac:dyDescent="0.35">
      <c r="G11473" s="15"/>
      <c r="N11473" s="10"/>
      <c r="O11473" s="16"/>
    </row>
    <row r="11474" spans="7:15" x14ac:dyDescent="0.35">
      <c r="G11474" s="15"/>
      <c r="N11474" s="10"/>
      <c r="O11474" s="16"/>
    </row>
    <row r="11475" spans="7:15" x14ac:dyDescent="0.35">
      <c r="G11475" s="15"/>
      <c r="N11475" s="10"/>
      <c r="O11475" s="16"/>
    </row>
    <row r="11476" spans="7:15" x14ac:dyDescent="0.35">
      <c r="G11476" s="15"/>
      <c r="N11476" s="10"/>
      <c r="O11476" s="16"/>
    </row>
    <row r="11477" spans="7:15" x14ac:dyDescent="0.35">
      <c r="G11477" s="15"/>
      <c r="N11477" s="10"/>
      <c r="O11477" s="16"/>
    </row>
    <row r="11478" spans="7:15" x14ac:dyDescent="0.35">
      <c r="G11478" s="15"/>
      <c r="N11478" s="10"/>
      <c r="O11478" s="16"/>
    </row>
    <row r="11479" spans="7:15" x14ac:dyDescent="0.35">
      <c r="G11479" s="15"/>
      <c r="N11479" s="10"/>
      <c r="O11479" s="16"/>
    </row>
    <row r="11480" spans="7:15" x14ac:dyDescent="0.35">
      <c r="G11480" s="15"/>
      <c r="N11480" s="10"/>
      <c r="O11480" s="16"/>
    </row>
    <row r="11481" spans="7:15" x14ac:dyDescent="0.35">
      <c r="G11481" s="15"/>
      <c r="N11481" s="10"/>
      <c r="O11481" s="16"/>
    </row>
    <row r="11482" spans="7:15" x14ac:dyDescent="0.35">
      <c r="G11482" s="15"/>
      <c r="N11482" s="10"/>
      <c r="O11482" s="16"/>
    </row>
    <row r="11483" spans="7:15" x14ac:dyDescent="0.35">
      <c r="G11483" s="15"/>
      <c r="N11483" s="10"/>
      <c r="O11483" s="16"/>
    </row>
    <row r="11484" spans="7:15" x14ac:dyDescent="0.35">
      <c r="G11484" s="15"/>
      <c r="N11484" s="10"/>
      <c r="O11484" s="16"/>
    </row>
    <row r="11485" spans="7:15" x14ac:dyDescent="0.35">
      <c r="G11485" s="15"/>
      <c r="N11485" s="10"/>
      <c r="O11485" s="16"/>
    </row>
    <row r="11486" spans="7:15" x14ac:dyDescent="0.35">
      <c r="G11486" s="15"/>
      <c r="N11486" s="10"/>
      <c r="O11486" s="16"/>
    </row>
    <row r="11487" spans="7:15" x14ac:dyDescent="0.35">
      <c r="G11487" s="15"/>
      <c r="N11487" s="10"/>
      <c r="O11487" s="16"/>
    </row>
    <row r="11488" spans="7:15" x14ac:dyDescent="0.35">
      <c r="G11488" s="15"/>
      <c r="N11488" s="10"/>
      <c r="O11488" s="16"/>
    </row>
    <row r="11489" spans="7:15" x14ac:dyDescent="0.35">
      <c r="G11489" s="15"/>
      <c r="N11489" s="10"/>
      <c r="O11489" s="16"/>
    </row>
    <row r="11490" spans="7:15" x14ac:dyDescent="0.35">
      <c r="G11490" s="15"/>
      <c r="N11490" s="10"/>
      <c r="O11490" s="16"/>
    </row>
    <row r="11491" spans="7:15" x14ac:dyDescent="0.35">
      <c r="G11491" s="15"/>
      <c r="N11491" s="10"/>
      <c r="O11491" s="16"/>
    </row>
    <row r="11492" spans="7:15" x14ac:dyDescent="0.35">
      <c r="G11492" s="15"/>
      <c r="N11492" s="10"/>
      <c r="O11492" s="16"/>
    </row>
    <row r="11493" spans="7:15" x14ac:dyDescent="0.35">
      <c r="G11493" s="15"/>
      <c r="N11493" s="10"/>
      <c r="O11493" s="16"/>
    </row>
    <row r="11494" spans="7:15" x14ac:dyDescent="0.35">
      <c r="G11494" s="15"/>
      <c r="N11494" s="10"/>
      <c r="O11494" s="16"/>
    </row>
    <row r="11495" spans="7:15" x14ac:dyDescent="0.35">
      <c r="G11495" s="15"/>
      <c r="N11495" s="10"/>
      <c r="O11495" s="16"/>
    </row>
    <row r="11496" spans="7:15" x14ac:dyDescent="0.35">
      <c r="G11496" s="15"/>
      <c r="N11496" s="10"/>
      <c r="O11496" s="16"/>
    </row>
    <row r="11497" spans="7:15" x14ac:dyDescent="0.35">
      <c r="G11497" s="15"/>
      <c r="N11497" s="10"/>
      <c r="O11497" s="16"/>
    </row>
    <row r="11498" spans="7:15" x14ac:dyDescent="0.35">
      <c r="G11498" s="15"/>
      <c r="N11498" s="10"/>
      <c r="O11498" s="16"/>
    </row>
    <row r="11499" spans="7:15" x14ac:dyDescent="0.35">
      <c r="G11499" s="15"/>
      <c r="N11499" s="10"/>
      <c r="O11499" s="16"/>
    </row>
    <row r="11500" spans="7:15" x14ac:dyDescent="0.35">
      <c r="G11500" s="15"/>
      <c r="N11500" s="10"/>
      <c r="O11500" s="16"/>
    </row>
    <row r="11501" spans="7:15" x14ac:dyDescent="0.35">
      <c r="G11501" s="15"/>
      <c r="N11501" s="10"/>
      <c r="O11501" s="16"/>
    </row>
    <row r="11502" spans="7:15" x14ac:dyDescent="0.35">
      <c r="G11502" s="15"/>
      <c r="N11502" s="10"/>
      <c r="O11502" s="16"/>
    </row>
    <row r="11503" spans="7:15" x14ac:dyDescent="0.35">
      <c r="G11503" s="15"/>
      <c r="N11503" s="10"/>
      <c r="O11503" s="16"/>
    </row>
    <row r="11504" spans="7:15" x14ac:dyDescent="0.35">
      <c r="G11504" s="15"/>
      <c r="N11504" s="10"/>
      <c r="O11504" s="16"/>
    </row>
    <row r="11505" spans="7:15" x14ac:dyDescent="0.35">
      <c r="G11505" s="15"/>
      <c r="N11505" s="10"/>
      <c r="O11505" s="16"/>
    </row>
    <row r="11506" spans="7:15" x14ac:dyDescent="0.35">
      <c r="G11506" s="15"/>
      <c r="N11506" s="10"/>
      <c r="O11506" s="16"/>
    </row>
    <row r="11507" spans="7:15" x14ac:dyDescent="0.35">
      <c r="G11507" s="15"/>
      <c r="N11507" s="10"/>
      <c r="O11507" s="16"/>
    </row>
    <row r="11508" spans="7:15" x14ac:dyDescent="0.35">
      <c r="G11508" s="15"/>
      <c r="N11508" s="10"/>
      <c r="O11508" s="16"/>
    </row>
    <row r="11509" spans="7:15" x14ac:dyDescent="0.35">
      <c r="G11509" s="15"/>
      <c r="N11509" s="10"/>
      <c r="O11509" s="16"/>
    </row>
    <row r="11510" spans="7:15" x14ac:dyDescent="0.35">
      <c r="G11510" s="15"/>
      <c r="N11510" s="10"/>
      <c r="O11510" s="16"/>
    </row>
    <row r="11511" spans="7:15" x14ac:dyDescent="0.35">
      <c r="G11511" s="15"/>
      <c r="N11511" s="10"/>
      <c r="O11511" s="16"/>
    </row>
    <row r="11512" spans="7:15" x14ac:dyDescent="0.35">
      <c r="G11512" s="15"/>
      <c r="N11512" s="10"/>
      <c r="O11512" s="16"/>
    </row>
    <row r="11513" spans="7:15" x14ac:dyDescent="0.35">
      <c r="G11513" s="15"/>
      <c r="N11513" s="10"/>
      <c r="O11513" s="16"/>
    </row>
    <row r="11514" spans="7:15" x14ac:dyDescent="0.35">
      <c r="G11514" s="15"/>
      <c r="N11514" s="10"/>
      <c r="O11514" s="16"/>
    </row>
    <row r="11515" spans="7:15" x14ac:dyDescent="0.35">
      <c r="G11515" s="15"/>
      <c r="N11515" s="10"/>
      <c r="O11515" s="16"/>
    </row>
    <row r="11516" spans="7:15" x14ac:dyDescent="0.35">
      <c r="G11516" s="15"/>
      <c r="N11516" s="10"/>
      <c r="O11516" s="16"/>
    </row>
    <row r="11517" spans="7:15" x14ac:dyDescent="0.35">
      <c r="G11517" s="15"/>
      <c r="N11517" s="10"/>
      <c r="O11517" s="16"/>
    </row>
    <row r="11518" spans="7:15" x14ac:dyDescent="0.35">
      <c r="G11518" s="15"/>
      <c r="N11518" s="10"/>
      <c r="O11518" s="16"/>
    </row>
    <row r="11519" spans="7:15" x14ac:dyDescent="0.35">
      <c r="G11519" s="15"/>
      <c r="N11519" s="10"/>
      <c r="O11519" s="16"/>
    </row>
    <row r="11520" spans="7:15" x14ac:dyDescent="0.35">
      <c r="G11520" s="15"/>
      <c r="N11520" s="10"/>
      <c r="O11520" s="16"/>
    </row>
    <row r="11521" spans="7:15" x14ac:dyDescent="0.35">
      <c r="G11521" s="15"/>
      <c r="N11521" s="10"/>
      <c r="O11521" s="16"/>
    </row>
    <row r="11522" spans="7:15" x14ac:dyDescent="0.35">
      <c r="G11522" s="15"/>
      <c r="N11522" s="10"/>
      <c r="O11522" s="16"/>
    </row>
    <row r="11523" spans="7:15" x14ac:dyDescent="0.35">
      <c r="G11523" s="15"/>
      <c r="N11523" s="10"/>
      <c r="O11523" s="16"/>
    </row>
    <row r="11524" spans="7:15" x14ac:dyDescent="0.35">
      <c r="G11524" s="15"/>
      <c r="N11524" s="10"/>
      <c r="O11524" s="16"/>
    </row>
    <row r="11525" spans="7:15" x14ac:dyDescent="0.35">
      <c r="G11525" s="15"/>
      <c r="N11525" s="10"/>
      <c r="O11525" s="16"/>
    </row>
    <row r="11526" spans="7:15" x14ac:dyDescent="0.35">
      <c r="G11526" s="15"/>
      <c r="N11526" s="10"/>
      <c r="O11526" s="16"/>
    </row>
    <row r="11527" spans="7:15" x14ac:dyDescent="0.35">
      <c r="G11527" s="15"/>
      <c r="N11527" s="10"/>
      <c r="O11527" s="16"/>
    </row>
    <row r="11528" spans="7:15" x14ac:dyDescent="0.35">
      <c r="G11528" s="15"/>
      <c r="N11528" s="10"/>
      <c r="O11528" s="16"/>
    </row>
    <row r="11529" spans="7:15" x14ac:dyDescent="0.35">
      <c r="G11529" s="15"/>
      <c r="N11529" s="10"/>
      <c r="O11529" s="16"/>
    </row>
    <row r="11530" spans="7:15" x14ac:dyDescent="0.35">
      <c r="G11530" s="15"/>
      <c r="N11530" s="10"/>
      <c r="O11530" s="16"/>
    </row>
    <row r="11531" spans="7:15" x14ac:dyDescent="0.35">
      <c r="G11531" s="15"/>
      <c r="N11531" s="10"/>
      <c r="O11531" s="16"/>
    </row>
    <row r="11532" spans="7:15" x14ac:dyDescent="0.35">
      <c r="G11532" s="15"/>
      <c r="N11532" s="10"/>
      <c r="O11532" s="16"/>
    </row>
    <row r="11533" spans="7:15" x14ac:dyDescent="0.35">
      <c r="G11533" s="15"/>
      <c r="N11533" s="10"/>
      <c r="O11533" s="16"/>
    </row>
    <row r="11534" spans="7:15" x14ac:dyDescent="0.35">
      <c r="G11534" s="15"/>
      <c r="N11534" s="10"/>
      <c r="O11534" s="16"/>
    </row>
    <row r="11535" spans="7:15" x14ac:dyDescent="0.35">
      <c r="G11535" s="15"/>
      <c r="N11535" s="10"/>
      <c r="O11535" s="16"/>
    </row>
    <row r="11536" spans="7:15" x14ac:dyDescent="0.35">
      <c r="G11536" s="15"/>
      <c r="N11536" s="10"/>
      <c r="O11536" s="16"/>
    </row>
    <row r="11537" spans="7:15" x14ac:dyDescent="0.35">
      <c r="G11537" s="15"/>
      <c r="N11537" s="10"/>
      <c r="O11537" s="16"/>
    </row>
    <row r="11538" spans="7:15" x14ac:dyDescent="0.35">
      <c r="G11538" s="15"/>
      <c r="N11538" s="10"/>
      <c r="O11538" s="16"/>
    </row>
    <row r="11539" spans="7:15" x14ac:dyDescent="0.35">
      <c r="G11539" s="15"/>
      <c r="N11539" s="10"/>
      <c r="O11539" s="16"/>
    </row>
    <row r="11540" spans="7:15" x14ac:dyDescent="0.35">
      <c r="G11540" s="15"/>
      <c r="N11540" s="10"/>
      <c r="O11540" s="16"/>
    </row>
    <row r="11541" spans="7:15" x14ac:dyDescent="0.35">
      <c r="G11541" s="15"/>
      <c r="N11541" s="10"/>
      <c r="O11541" s="16"/>
    </row>
    <row r="11542" spans="7:15" x14ac:dyDescent="0.35">
      <c r="G11542" s="15"/>
      <c r="N11542" s="10"/>
      <c r="O11542" s="16"/>
    </row>
    <row r="11543" spans="7:15" x14ac:dyDescent="0.35">
      <c r="G11543" s="15"/>
      <c r="N11543" s="10"/>
      <c r="O11543" s="16"/>
    </row>
    <row r="11544" spans="7:15" x14ac:dyDescent="0.35">
      <c r="G11544" s="15"/>
      <c r="N11544" s="10"/>
      <c r="O11544" s="16"/>
    </row>
    <row r="11545" spans="7:15" x14ac:dyDescent="0.35">
      <c r="G11545" s="15"/>
      <c r="N11545" s="10"/>
      <c r="O11545" s="16"/>
    </row>
    <row r="11546" spans="7:15" x14ac:dyDescent="0.35">
      <c r="G11546" s="15"/>
      <c r="N11546" s="10"/>
      <c r="O11546" s="16"/>
    </row>
    <row r="11547" spans="7:15" x14ac:dyDescent="0.35">
      <c r="G11547" s="15"/>
      <c r="N11547" s="10"/>
      <c r="O11547" s="16"/>
    </row>
    <row r="11548" spans="7:15" x14ac:dyDescent="0.35">
      <c r="G11548" s="15"/>
      <c r="N11548" s="10"/>
      <c r="O11548" s="16"/>
    </row>
    <row r="11549" spans="7:15" x14ac:dyDescent="0.35">
      <c r="G11549" s="15"/>
      <c r="N11549" s="10"/>
      <c r="O11549" s="16"/>
    </row>
    <row r="11550" spans="7:15" x14ac:dyDescent="0.35">
      <c r="G11550" s="15"/>
      <c r="N11550" s="10"/>
      <c r="O11550" s="16"/>
    </row>
    <row r="11551" spans="7:15" x14ac:dyDescent="0.35">
      <c r="G11551" s="15"/>
      <c r="N11551" s="10"/>
      <c r="O11551" s="16"/>
    </row>
    <row r="11552" spans="7:15" x14ac:dyDescent="0.35">
      <c r="G11552" s="15"/>
      <c r="N11552" s="10"/>
      <c r="O11552" s="16"/>
    </row>
    <row r="11553" spans="7:15" x14ac:dyDescent="0.35">
      <c r="G11553" s="15"/>
      <c r="N11553" s="10"/>
      <c r="O11553" s="16"/>
    </row>
    <row r="11554" spans="7:15" x14ac:dyDescent="0.35">
      <c r="G11554" s="15"/>
      <c r="N11554" s="10"/>
      <c r="O11554" s="16"/>
    </row>
    <row r="11555" spans="7:15" x14ac:dyDescent="0.35">
      <c r="G11555" s="15"/>
      <c r="N11555" s="10"/>
      <c r="O11555" s="16"/>
    </row>
    <row r="11556" spans="7:15" x14ac:dyDescent="0.35">
      <c r="G11556" s="15"/>
      <c r="N11556" s="10"/>
      <c r="O11556" s="16"/>
    </row>
    <row r="11557" spans="7:15" x14ac:dyDescent="0.35">
      <c r="G11557" s="15"/>
      <c r="N11557" s="10"/>
      <c r="O11557" s="16"/>
    </row>
    <row r="11558" spans="7:15" x14ac:dyDescent="0.35">
      <c r="G11558" s="15"/>
      <c r="N11558" s="10"/>
      <c r="O11558" s="16"/>
    </row>
    <row r="11559" spans="7:15" x14ac:dyDescent="0.35">
      <c r="G11559" s="15"/>
      <c r="N11559" s="10"/>
      <c r="O11559" s="16"/>
    </row>
    <row r="11560" spans="7:15" x14ac:dyDescent="0.35">
      <c r="G11560" s="15"/>
      <c r="N11560" s="10"/>
      <c r="O11560" s="16"/>
    </row>
    <row r="11561" spans="7:15" x14ac:dyDescent="0.35">
      <c r="G11561" s="15"/>
      <c r="N11561" s="10"/>
      <c r="O11561" s="16"/>
    </row>
    <row r="11562" spans="7:15" x14ac:dyDescent="0.35">
      <c r="G11562" s="15"/>
      <c r="N11562" s="10"/>
      <c r="O11562" s="16"/>
    </row>
    <row r="11563" spans="7:15" x14ac:dyDescent="0.35">
      <c r="G11563" s="15"/>
      <c r="N11563" s="10"/>
      <c r="O11563" s="16"/>
    </row>
    <row r="11564" spans="7:15" x14ac:dyDescent="0.35">
      <c r="G11564" s="15"/>
      <c r="N11564" s="10"/>
      <c r="O11564" s="16"/>
    </row>
    <row r="11565" spans="7:15" x14ac:dyDescent="0.35">
      <c r="G11565" s="15"/>
      <c r="N11565" s="10"/>
      <c r="O11565" s="16"/>
    </row>
    <row r="11566" spans="7:15" x14ac:dyDescent="0.35">
      <c r="G11566" s="15"/>
      <c r="N11566" s="10"/>
      <c r="O11566" s="16"/>
    </row>
    <row r="11567" spans="7:15" x14ac:dyDescent="0.35">
      <c r="G11567" s="15"/>
      <c r="N11567" s="10"/>
      <c r="O11567" s="16"/>
    </row>
    <row r="11568" spans="7:15" x14ac:dyDescent="0.35">
      <c r="G11568" s="15"/>
      <c r="N11568" s="10"/>
      <c r="O11568" s="16"/>
    </row>
    <row r="11569" spans="7:15" x14ac:dyDescent="0.35">
      <c r="G11569" s="15"/>
      <c r="N11569" s="10"/>
      <c r="O11569" s="16"/>
    </row>
    <row r="11570" spans="7:15" x14ac:dyDescent="0.35">
      <c r="G11570" s="15"/>
      <c r="N11570" s="10"/>
      <c r="O11570" s="16"/>
    </row>
    <row r="11571" spans="7:15" x14ac:dyDescent="0.35">
      <c r="G11571" s="15"/>
      <c r="N11571" s="10"/>
      <c r="O11571" s="16"/>
    </row>
    <row r="11572" spans="7:15" x14ac:dyDescent="0.35">
      <c r="G11572" s="15"/>
      <c r="N11572" s="10"/>
      <c r="O11572" s="16"/>
    </row>
    <row r="11573" spans="7:15" x14ac:dyDescent="0.35">
      <c r="G11573" s="15"/>
      <c r="N11573" s="10"/>
      <c r="O11573" s="16"/>
    </row>
    <row r="11574" spans="7:15" x14ac:dyDescent="0.35">
      <c r="G11574" s="15"/>
      <c r="N11574" s="10"/>
      <c r="O11574" s="16"/>
    </row>
    <row r="11575" spans="7:15" x14ac:dyDescent="0.35">
      <c r="G11575" s="15"/>
      <c r="N11575" s="10"/>
      <c r="O11575" s="16"/>
    </row>
    <row r="11576" spans="7:15" x14ac:dyDescent="0.35">
      <c r="G11576" s="15"/>
      <c r="N11576" s="10"/>
      <c r="O11576" s="16"/>
    </row>
    <row r="11577" spans="7:15" x14ac:dyDescent="0.35">
      <c r="G11577" s="15"/>
      <c r="N11577" s="10"/>
      <c r="O11577" s="16"/>
    </row>
    <row r="11578" spans="7:15" x14ac:dyDescent="0.35">
      <c r="G11578" s="15"/>
      <c r="N11578" s="10"/>
      <c r="O11578" s="16"/>
    </row>
    <row r="11579" spans="7:15" x14ac:dyDescent="0.35">
      <c r="G11579" s="15"/>
      <c r="N11579" s="10"/>
      <c r="O11579" s="16"/>
    </row>
    <row r="11580" spans="7:15" x14ac:dyDescent="0.35">
      <c r="G11580" s="15"/>
      <c r="N11580" s="10"/>
      <c r="O11580" s="16"/>
    </row>
    <row r="11581" spans="7:15" x14ac:dyDescent="0.35">
      <c r="G11581" s="15"/>
      <c r="N11581" s="10"/>
      <c r="O11581" s="16"/>
    </row>
    <row r="11582" spans="7:15" x14ac:dyDescent="0.35">
      <c r="G11582" s="15"/>
      <c r="N11582" s="10"/>
      <c r="O11582" s="16"/>
    </row>
    <row r="11583" spans="7:15" x14ac:dyDescent="0.35">
      <c r="G11583" s="15"/>
      <c r="N11583" s="10"/>
      <c r="O11583" s="16"/>
    </row>
    <row r="11584" spans="7:15" x14ac:dyDescent="0.35">
      <c r="G11584" s="15"/>
      <c r="N11584" s="10"/>
      <c r="O11584" s="16"/>
    </row>
    <row r="11585" spans="7:15" x14ac:dyDescent="0.35">
      <c r="G11585" s="15"/>
      <c r="N11585" s="10"/>
      <c r="O11585" s="16"/>
    </row>
    <row r="11586" spans="7:15" x14ac:dyDescent="0.35">
      <c r="G11586" s="15"/>
      <c r="N11586" s="10"/>
      <c r="O11586" s="16"/>
    </row>
    <row r="11587" spans="7:15" x14ac:dyDescent="0.35">
      <c r="G11587" s="15"/>
      <c r="N11587" s="10"/>
      <c r="O11587" s="16"/>
    </row>
    <row r="11588" spans="7:15" x14ac:dyDescent="0.35">
      <c r="G11588" s="15"/>
      <c r="N11588" s="10"/>
      <c r="O11588" s="16"/>
    </row>
    <row r="11589" spans="7:15" x14ac:dyDescent="0.35">
      <c r="G11589" s="15"/>
      <c r="N11589" s="10"/>
      <c r="O11589" s="16"/>
    </row>
    <row r="11590" spans="7:15" x14ac:dyDescent="0.35">
      <c r="G11590" s="15"/>
      <c r="N11590" s="10"/>
      <c r="O11590" s="16"/>
    </row>
    <row r="11591" spans="7:15" x14ac:dyDescent="0.35">
      <c r="G11591" s="15"/>
      <c r="N11591" s="10"/>
      <c r="O11591" s="16"/>
    </row>
    <row r="11592" spans="7:15" x14ac:dyDescent="0.35">
      <c r="G11592" s="15"/>
      <c r="N11592" s="10"/>
      <c r="O11592" s="16"/>
    </row>
    <row r="11593" spans="7:15" x14ac:dyDescent="0.35">
      <c r="G11593" s="15"/>
      <c r="N11593" s="10"/>
      <c r="O11593" s="16"/>
    </row>
    <row r="11594" spans="7:15" x14ac:dyDescent="0.35">
      <c r="G11594" s="15"/>
      <c r="N11594" s="10"/>
      <c r="O11594" s="16"/>
    </row>
    <row r="11595" spans="7:15" x14ac:dyDescent="0.35">
      <c r="G11595" s="15"/>
      <c r="N11595" s="10"/>
      <c r="O11595" s="16"/>
    </row>
    <row r="11596" spans="7:15" x14ac:dyDescent="0.35">
      <c r="G11596" s="15"/>
      <c r="N11596" s="10"/>
      <c r="O11596" s="16"/>
    </row>
    <row r="11597" spans="7:15" x14ac:dyDescent="0.35">
      <c r="G11597" s="15"/>
      <c r="N11597" s="10"/>
      <c r="O11597" s="16"/>
    </row>
    <row r="11598" spans="7:15" x14ac:dyDescent="0.35">
      <c r="G11598" s="15"/>
      <c r="N11598" s="10"/>
      <c r="O11598" s="16"/>
    </row>
    <row r="11599" spans="7:15" x14ac:dyDescent="0.35">
      <c r="G11599" s="15"/>
      <c r="N11599" s="10"/>
      <c r="O11599" s="16"/>
    </row>
    <row r="11600" spans="7:15" x14ac:dyDescent="0.35">
      <c r="G11600" s="15"/>
      <c r="N11600" s="10"/>
      <c r="O11600" s="16"/>
    </row>
    <row r="11601" spans="7:15" x14ac:dyDescent="0.35">
      <c r="G11601" s="15"/>
      <c r="N11601" s="10"/>
      <c r="O11601" s="16"/>
    </row>
    <row r="11602" spans="7:15" x14ac:dyDescent="0.35">
      <c r="G11602" s="15"/>
      <c r="N11602" s="10"/>
      <c r="O11602" s="16"/>
    </row>
    <row r="11603" spans="7:15" x14ac:dyDescent="0.35">
      <c r="G11603" s="15"/>
      <c r="N11603" s="10"/>
      <c r="O11603" s="16"/>
    </row>
    <row r="11604" spans="7:15" x14ac:dyDescent="0.35">
      <c r="G11604" s="15"/>
      <c r="N11604" s="10"/>
      <c r="O11604" s="16"/>
    </row>
    <row r="11605" spans="7:15" x14ac:dyDescent="0.35">
      <c r="G11605" s="15"/>
      <c r="N11605" s="10"/>
      <c r="O11605" s="16"/>
    </row>
    <row r="11606" spans="7:15" x14ac:dyDescent="0.35">
      <c r="G11606" s="15"/>
      <c r="N11606" s="10"/>
      <c r="O11606" s="16"/>
    </row>
    <row r="11607" spans="7:15" x14ac:dyDescent="0.35">
      <c r="G11607" s="15"/>
      <c r="N11607" s="10"/>
      <c r="O11607" s="16"/>
    </row>
    <row r="11608" spans="7:15" x14ac:dyDescent="0.35">
      <c r="G11608" s="15"/>
      <c r="N11608" s="10"/>
      <c r="O11608" s="16"/>
    </row>
    <row r="11609" spans="7:15" x14ac:dyDescent="0.35">
      <c r="G11609" s="15"/>
      <c r="N11609" s="10"/>
      <c r="O11609" s="16"/>
    </row>
    <row r="11610" spans="7:15" x14ac:dyDescent="0.35">
      <c r="G11610" s="15"/>
      <c r="N11610" s="10"/>
      <c r="O11610" s="16"/>
    </row>
    <row r="11611" spans="7:15" x14ac:dyDescent="0.35">
      <c r="G11611" s="15"/>
      <c r="N11611" s="10"/>
      <c r="O11611" s="16"/>
    </row>
    <row r="11612" spans="7:15" x14ac:dyDescent="0.35">
      <c r="G11612" s="15"/>
      <c r="N11612" s="10"/>
      <c r="O11612" s="16"/>
    </row>
    <row r="11613" spans="7:15" x14ac:dyDescent="0.35">
      <c r="G11613" s="15"/>
      <c r="N11613" s="10"/>
      <c r="O11613" s="16"/>
    </row>
    <row r="11614" spans="7:15" x14ac:dyDescent="0.35">
      <c r="G11614" s="15"/>
      <c r="N11614" s="10"/>
      <c r="O11614" s="16"/>
    </row>
    <row r="11615" spans="7:15" x14ac:dyDescent="0.35">
      <c r="G11615" s="15"/>
      <c r="N11615" s="10"/>
      <c r="O11615" s="16"/>
    </row>
    <row r="11616" spans="7:15" x14ac:dyDescent="0.35">
      <c r="G11616" s="15"/>
      <c r="N11616" s="10"/>
      <c r="O11616" s="16"/>
    </row>
    <row r="11617" spans="7:15" x14ac:dyDescent="0.35">
      <c r="G11617" s="15"/>
      <c r="N11617" s="10"/>
      <c r="O11617" s="16"/>
    </row>
    <row r="11618" spans="7:15" x14ac:dyDescent="0.35">
      <c r="G11618" s="15"/>
      <c r="N11618" s="10"/>
      <c r="O11618" s="16"/>
    </row>
    <row r="11619" spans="7:15" x14ac:dyDescent="0.35">
      <c r="G11619" s="15"/>
      <c r="N11619" s="10"/>
      <c r="O11619" s="16"/>
    </row>
    <row r="11620" spans="7:15" x14ac:dyDescent="0.35">
      <c r="G11620" s="15"/>
      <c r="N11620" s="10"/>
      <c r="O11620" s="16"/>
    </row>
    <row r="11621" spans="7:15" x14ac:dyDescent="0.35">
      <c r="G11621" s="15"/>
      <c r="N11621" s="10"/>
      <c r="O11621" s="16"/>
    </row>
    <row r="11622" spans="7:15" x14ac:dyDescent="0.35">
      <c r="G11622" s="15"/>
      <c r="N11622" s="10"/>
      <c r="O11622" s="16"/>
    </row>
    <row r="11623" spans="7:15" x14ac:dyDescent="0.35">
      <c r="G11623" s="15"/>
      <c r="N11623" s="10"/>
      <c r="O11623" s="16"/>
    </row>
    <row r="11624" spans="7:15" x14ac:dyDescent="0.35">
      <c r="G11624" s="15"/>
      <c r="N11624" s="10"/>
      <c r="O11624" s="16"/>
    </row>
    <row r="11625" spans="7:15" x14ac:dyDescent="0.35">
      <c r="G11625" s="15"/>
      <c r="N11625" s="10"/>
      <c r="O11625" s="16"/>
    </row>
    <row r="11626" spans="7:15" x14ac:dyDescent="0.35">
      <c r="G11626" s="15"/>
      <c r="N11626" s="10"/>
      <c r="O11626" s="16"/>
    </row>
    <row r="11627" spans="7:15" x14ac:dyDescent="0.35">
      <c r="G11627" s="15"/>
      <c r="N11627" s="10"/>
      <c r="O11627" s="16"/>
    </row>
    <row r="11628" spans="7:15" x14ac:dyDescent="0.35">
      <c r="G11628" s="15"/>
      <c r="N11628" s="10"/>
      <c r="O11628" s="16"/>
    </row>
    <row r="11629" spans="7:15" x14ac:dyDescent="0.35">
      <c r="G11629" s="15"/>
      <c r="N11629" s="10"/>
      <c r="O11629" s="16"/>
    </row>
    <row r="11630" spans="7:15" x14ac:dyDescent="0.35">
      <c r="G11630" s="15"/>
      <c r="N11630" s="10"/>
      <c r="O11630" s="16"/>
    </row>
    <row r="11631" spans="7:15" x14ac:dyDescent="0.35">
      <c r="G11631" s="15"/>
      <c r="N11631" s="10"/>
      <c r="O11631" s="16"/>
    </row>
    <row r="11632" spans="7:15" x14ac:dyDescent="0.35">
      <c r="G11632" s="15"/>
      <c r="N11632" s="10"/>
      <c r="O11632" s="16"/>
    </row>
    <row r="11633" spans="7:15" x14ac:dyDescent="0.35">
      <c r="G11633" s="15"/>
      <c r="N11633" s="10"/>
      <c r="O11633" s="16"/>
    </row>
    <row r="11634" spans="7:15" x14ac:dyDescent="0.35">
      <c r="G11634" s="15"/>
      <c r="N11634" s="10"/>
      <c r="O11634" s="16"/>
    </row>
    <row r="11635" spans="7:15" x14ac:dyDescent="0.35">
      <c r="G11635" s="15"/>
      <c r="N11635" s="10"/>
      <c r="O11635" s="16"/>
    </row>
    <row r="11636" spans="7:15" x14ac:dyDescent="0.35">
      <c r="G11636" s="15"/>
      <c r="N11636" s="10"/>
      <c r="O11636" s="16"/>
    </row>
    <row r="11637" spans="7:15" x14ac:dyDescent="0.35">
      <c r="G11637" s="15"/>
      <c r="N11637" s="10"/>
      <c r="O11637" s="16"/>
    </row>
    <row r="11638" spans="7:15" x14ac:dyDescent="0.35">
      <c r="G11638" s="15"/>
      <c r="N11638" s="10"/>
      <c r="O11638" s="16"/>
    </row>
    <row r="11639" spans="7:15" x14ac:dyDescent="0.35">
      <c r="G11639" s="15"/>
      <c r="N11639" s="10"/>
      <c r="O11639" s="16"/>
    </row>
    <row r="11640" spans="7:15" x14ac:dyDescent="0.35">
      <c r="G11640" s="15"/>
      <c r="N11640" s="10"/>
      <c r="O11640" s="16"/>
    </row>
    <row r="11641" spans="7:15" x14ac:dyDescent="0.35">
      <c r="G11641" s="15"/>
      <c r="N11641" s="10"/>
      <c r="O11641" s="16"/>
    </row>
    <row r="11642" spans="7:15" x14ac:dyDescent="0.35">
      <c r="G11642" s="15"/>
      <c r="N11642" s="10"/>
      <c r="O11642" s="16"/>
    </row>
    <row r="11643" spans="7:15" x14ac:dyDescent="0.35">
      <c r="G11643" s="15"/>
      <c r="N11643" s="10"/>
      <c r="O11643" s="16"/>
    </row>
    <row r="11644" spans="7:15" x14ac:dyDescent="0.35">
      <c r="G11644" s="15"/>
      <c r="N11644" s="10"/>
      <c r="O11644" s="16"/>
    </row>
    <row r="11645" spans="7:15" x14ac:dyDescent="0.35">
      <c r="G11645" s="15"/>
      <c r="N11645" s="10"/>
      <c r="O11645" s="16"/>
    </row>
    <row r="11646" spans="7:15" x14ac:dyDescent="0.35">
      <c r="G11646" s="15"/>
      <c r="N11646" s="10"/>
      <c r="O11646" s="16"/>
    </row>
    <row r="11647" spans="7:15" x14ac:dyDescent="0.35">
      <c r="G11647" s="15"/>
      <c r="N11647" s="10"/>
      <c r="O11647" s="16"/>
    </row>
    <row r="11648" spans="7:15" x14ac:dyDescent="0.35">
      <c r="G11648" s="15"/>
      <c r="N11648" s="10"/>
      <c r="O11648" s="16"/>
    </row>
    <row r="11649" spans="7:15" x14ac:dyDescent="0.35">
      <c r="G11649" s="15"/>
      <c r="N11649" s="10"/>
      <c r="O11649" s="16"/>
    </row>
    <row r="11650" spans="7:15" x14ac:dyDescent="0.35">
      <c r="G11650" s="15"/>
      <c r="N11650" s="10"/>
      <c r="O11650" s="16"/>
    </row>
    <row r="11651" spans="7:15" x14ac:dyDescent="0.35">
      <c r="G11651" s="15"/>
      <c r="N11651" s="10"/>
      <c r="O11651" s="16"/>
    </row>
    <row r="11652" spans="7:15" x14ac:dyDescent="0.35">
      <c r="G11652" s="15"/>
      <c r="N11652" s="10"/>
      <c r="O11652" s="16"/>
    </row>
    <row r="11653" spans="7:15" x14ac:dyDescent="0.35">
      <c r="G11653" s="15"/>
      <c r="N11653" s="10"/>
      <c r="O11653" s="16"/>
    </row>
    <row r="11654" spans="7:15" x14ac:dyDescent="0.35">
      <c r="G11654" s="15"/>
      <c r="N11654" s="10"/>
      <c r="O11654" s="16"/>
    </row>
    <row r="11655" spans="7:15" x14ac:dyDescent="0.35">
      <c r="G11655" s="15"/>
      <c r="N11655" s="10"/>
      <c r="O11655" s="16"/>
    </row>
    <row r="11656" spans="7:15" x14ac:dyDescent="0.35">
      <c r="G11656" s="15"/>
      <c r="N11656" s="10"/>
      <c r="O11656" s="16"/>
    </row>
    <row r="11657" spans="7:15" x14ac:dyDescent="0.35">
      <c r="G11657" s="15"/>
      <c r="N11657" s="10"/>
      <c r="O11657" s="16"/>
    </row>
    <row r="11658" spans="7:15" x14ac:dyDescent="0.35">
      <c r="G11658" s="15"/>
      <c r="N11658" s="10"/>
      <c r="O11658" s="16"/>
    </row>
    <row r="11659" spans="7:15" x14ac:dyDescent="0.35">
      <c r="G11659" s="15"/>
      <c r="N11659" s="10"/>
      <c r="O11659" s="16"/>
    </row>
    <row r="11660" spans="7:15" x14ac:dyDescent="0.35">
      <c r="G11660" s="15"/>
      <c r="N11660" s="10"/>
      <c r="O11660" s="16"/>
    </row>
    <row r="11661" spans="7:15" x14ac:dyDescent="0.35">
      <c r="G11661" s="15"/>
      <c r="N11661" s="10"/>
      <c r="O11661" s="16"/>
    </row>
    <row r="11662" spans="7:15" x14ac:dyDescent="0.35">
      <c r="G11662" s="15"/>
      <c r="N11662" s="10"/>
      <c r="O11662" s="16"/>
    </row>
    <row r="11663" spans="7:15" x14ac:dyDescent="0.35">
      <c r="G11663" s="15"/>
      <c r="N11663" s="10"/>
      <c r="O11663" s="16"/>
    </row>
    <row r="11664" spans="7:15" x14ac:dyDescent="0.35">
      <c r="G11664" s="15"/>
      <c r="N11664" s="10"/>
      <c r="O11664" s="16"/>
    </row>
    <row r="11665" spans="7:15" x14ac:dyDescent="0.35">
      <c r="G11665" s="15"/>
      <c r="N11665" s="10"/>
      <c r="O11665" s="16"/>
    </row>
    <row r="11666" spans="7:15" x14ac:dyDescent="0.35">
      <c r="G11666" s="15"/>
      <c r="N11666" s="10"/>
      <c r="O11666" s="16"/>
    </row>
    <row r="11667" spans="7:15" x14ac:dyDescent="0.35">
      <c r="G11667" s="15"/>
      <c r="N11667" s="10"/>
      <c r="O11667" s="16"/>
    </row>
    <row r="11668" spans="7:15" x14ac:dyDescent="0.35">
      <c r="G11668" s="15"/>
      <c r="N11668" s="10"/>
      <c r="O11668" s="16"/>
    </row>
    <row r="11669" spans="7:15" x14ac:dyDescent="0.35">
      <c r="G11669" s="15"/>
      <c r="N11669" s="10"/>
      <c r="O11669" s="16"/>
    </row>
    <row r="11670" spans="7:15" x14ac:dyDescent="0.35">
      <c r="G11670" s="15"/>
      <c r="N11670" s="10"/>
      <c r="O11670" s="16"/>
    </row>
    <row r="11671" spans="7:15" x14ac:dyDescent="0.35">
      <c r="G11671" s="15"/>
      <c r="N11671" s="10"/>
      <c r="O11671" s="16"/>
    </row>
    <row r="11672" spans="7:15" x14ac:dyDescent="0.35">
      <c r="G11672" s="15"/>
      <c r="N11672" s="10"/>
      <c r="O11672" s="16"/>
    </row>
    <row r="11673" spans="7:15" x14ac:dyDescent="0.35">
      <c r="G11673" s="15"/>
      <c r="N11673" s="10"/>
      <c r="O11673" s="16"/>
    </row>
    <row r="11674" spans="7:15" x14ac:dyDescent="0.35">
      <c r="G11674" s="15"/>
      <c r="N11674" s="10"/>
      <c r="O11674" s="16"/>
    </row>
    <row r="11675" spans="7:15" x14ac:dyDescent="0.35">
      <c r="G11675" s="15"/>
      <c r="N11675" s="10"/>
      <c r="O11675" s="16"/>
    </row>
    <row r="11676" spans="7:15" x14ac:dyDescent="0.35">
      <c r="G11676" s="15"/>
      <c r="N11676" s="10"/>
      <c r="O11676" s="16"/>
    </row>
    <row r="11677" spans="7:15" x14ac:dyDescent="0.35">
      <c r="G11677" s="15"/>
      <c r="N11677" s="10"/>
      <c r="O11677" s="16"/>
    </row>
    <row r="11678" spans="7:15" x14ac:dyDescent="0.35">
      <c r="G11678" s="15"/>
      <c r="N11678" s="10"/>
      <c r="O11678" s="16"/>
    </row>
    <row r="11679" spans="7:15" x14ac:dyDescent="0.35">
      <c r="G11679" s="15"/>
      <c r="N11679" s="10"/>
      <c r="O11679" s="16"/>
    </row>
    <row r="11680" spans="7:15" x14ac:dyDescent="0.35">
      <c r="G11680" s="15"/>
      <c r="N11680" s="10"/>
      <c r="O11680" s="16"/>
    </row>
    <row r="11681" spans="7:17" x14ac:dyDescent="0.35">
      <c r="G11681" s="15"/>
      <c r="N11681" s="10"/>
      <c r="O11681" s="16"/>
    </row>
    <row r="11682" spans="7:17" x14ac:dyDescent="0.35">
      <c r="G11682" s="15"/>
      <c r="N11682" s="10"/>
      <c r="O11682" s="16"/>
    </row>
    <row r="11683" spans="7:17" x14ac:dyDescent="0.35">
      <c r="G11683" s="15"/>
      <c r="N11683" s="10"/>
      <c r="O11683" s="16"/>
    </row>
    <row r="11684" spans="7:17" x14ac:dyDescent="0.35">
      <c r="G11684" s="15"/>
      <c r="N11684" s="10"/>
      <c r="O11684" s="16"/>
      <c r="Q11684" s="17"/>
    </row>
    <row r="11685" spans="7:17" x14ac:dyDescent="0.35">
      <c r="G11685" s="15"/>
      <c r="N11685" s="10"/>
      <c r="O11685" s="16"/>
    </row>
    <row r="11686" spans="7:17" x14ac:dyDescent="0.35">
      <c r="G11686" s="15"/>
      <c r="N11686" s="10"/>
      <c r="O11686" s="16"/>
      <c r="Q11686" s="17"/>
    </row>
    <row r="11687" spans="7:17" x14ac:dyDescent="0.35">
      <c r="G11687" s="15"/>
      <c r="N11687" s="10"/>
      <c r="O11687" s="16"/>
    </row>
    <row r="11688" spans="7:17" x14ac:dyDescent="0.35">
      <c r="G11688" s="15"/>
      <c r="N11688" s="10"/>
      <c r="O11688" s="16"/>
    </row>
    <row r="11689" spans="7:17" x14ac:dyDescent="0.35">
      <c r="G11689" s="15"/>
      <c r="N11689" s="10"/>
      <c r="O11689" s="16"/>
    </row>
    <row r="11690" spans="7:17" x14ac:dyDescent="0.35">
      <c r="G11690" s="15"/>
      <c r="N11690" s="10"/>
      <c r="O11690" s="16"/>
    </row>
    <row r="11691" spans="7:17" x14ac:dyDescent="0.35">
      <c r="G11691" s="15"/>
      <c r="N11691" s="10"/>
      <c r="O11691" s="16"/>
    </row>
    <row r="11692" spans="7:17" x14ac:dyDescent="0.35">
      <c r="G11692" s="15"/>
      <c r="N11692" s="10"/>
      <c r="O11692" s="16"/>
    </row>
    <row r="11693" spans="7:17" x14ac:dyDescent="0.35">
      <c r="G11693" s="15"/>
      <c r="N11693" s="10"/>
      <c r="O11693" s="16"/>
    </row>
    <row r="11694" spans="7:17" x14ac:dyDescent="0.35">
      <c r="G11694" s="15"/>
      <c r="N11694" s="10"/>
      <c r="O11694" s="16"/>
    </row>
    <row r="11695" spans="7:17" x14ac:dyDescent="0.35">
      <c r="G11695" s="15"/>
      <c r="N11695" s="10"/>
      <c r="O11695" s="16"/>
    </row>
    <row r="11696" spans="7:17" x14ac:dyDescent="0.35">
      <c r="G11696" s="15"/>
      <c r="N11696" s="10"/>
      <c r="O11696" s="16"/>
    </row>
    <row r="11697" spans="7:15" x14ac:dyDescent="0.35">
      <c r="G11697" s="15"/>
      <c r="N11697" s="10"/>
      <c r="O11697" s="16"/>
    </row>
    <row r="11698" spans="7:15" x14ac:dyDescent="0.35">
      <c r="G11698" s="15"/>
      <c r="N11698" s="10"/>
      <c r="O11698" s="16"/>
    </row>
    <row r="11699" spans="7:15" x14ac:dyDescent="0.35">
      <c r="G11699" s="15"/>
      <c r="N11699" s="10"/>
      <c r="O11699" s="16"/>
    </row>
    <row r="11700" spans="7:15" x14ac:dyDescent="0.35">
      <c r="G11700" s="15"/>
      <c r="N11700" s="10"/>
      <c r="O11700" s="16"/>
    </row>
    <row r="11701" spans="7:15" x14ac:dyDescent="0.35">
      <c r="G11701" s="15"/>
      <c r="N11701" s="10"/>
      <c r="O11701" s="16"/>
    </row>
    <row r="11702" spans="7:15" x14ac:dyDescent="0.35">
      <c r="G11702" s="15"/>
      <c r="N11702" s="10"/>
      <c r="O11702" s="16"/>
    </row>
    <row r="11703" spans="7:15" x14ac:dyDescent="0.35">
      <c r="G11703" s="15"/>
      <c r="N11703" s="10"/>
      <c r="O11703" s="16"/>
    </row>
    <row r="11704" spans="7:15" x14ac:dyDescent="0.35">
      <c r="G11704" s="15"/>
      <c r="N11704" s="10"/>
      <c r="O11704" s="16"/>
    </row>
    <row r="11705" spans="7:15" x14ac:dyDescent="0.35">
      <c r="G11705" s="15"/>
      <c r="N11705" s="10"/>
      <c r="O11705" s="16"/>
    </row>
    <row r="11706" spans="7:15" x14ac:dyDescent="0.35">
      <c r="G11706" s="15"/>
      <c r="N11706" s="10"/>
      <c r="O11706" s="16"/>
    </row>
    <row r="11707" spans="7:15" x14ac:dyDescent="0.35">
      <c r="G11707" s="15"/>
      <c r="N11707" s="10"/>
      <c r="O11707" s="16"/>
    </row>
    <row r="11708" spans="7:15" x14ac:dyDescent="0.35">
      <c r="G11708" s="15"/>
      <c r="N11708" s="10"/>
      <c r="O11708" s="16"/>
    </row>
    <row r="11709" spans="7:15" x14ac:dyDescent="0.35">
      <c r="G11709" s="15"/>
      <c r="N11709" s="10"/>
      <c r="O11709" s="16"/>
    </row>
    <row r="11710" spans="7:15" x14ac:dyDescent="0.35">
      <c r="G11710" s="15"/>
      <c r="N11710" s="10"/>
      <c r="O11710" s="16"/>
    </row>
    <row r="11711" spans="7:15" x14ac:dyDescent="0.35">
      <c r="G11711" s="15"/>
      <c r="N11711" s="10"/>
      <c r="O11711" s="16"/>
    </row>
    <row r="11712" spans="7:15" x14ac:dyDescent="0.35">
      <c r="G11712" s="15"/>
      <c r="N11712" s="10"/>
      <c r="O11712" s="16"/>
    </row>
    <row r="11713" spans="7:15" x14ac:dyDescent="0.35">
      <c r="G11713" s="15"/>
      <c r="N11713" s="10"/>
      <c r="O11713" s="16"/>
    </row>
    <row r="11714" spans="7:15" x14ac:dyDescent="0.35">
      <c r="G11714" s="15"/>
      <c r="N11714" s="10"/>
      <c r="O11714" s="16"/>
    </row>
    <row r="11715" spans="7:15" x14ac:dyDescent="0.35">
      <c r="G11715" s="15"/>
      <c r="N11715" s="10"/>
      <c r="O11715" s="16"/>
    </row>
    <row r="11716" spans="7:15" x14ac:dyDescent="0.35">
      <c r="G11716" s="15"/>
      <c r="N11716" s="10"/>
      <c r="O11716" s="16"/>
    </row>
    <row r="11717" spans="7:15" x14ac:dyDescent="0.35">
      <c r="G11717" s="15"/>
      <c r="N11717" s="10"/>
      <c r="O11717" s="16"/>
    </row>
    <row r="11718" spans="7:15" x14ac:dyDescent="0.35">
      <c r="G11718" s="15"/>
      <c r="N11718" s="10"/>
      <c r="O11718" s="16"/>
    </row>
    <row r="11719" spans="7:15" x14ac:dyDescent="0.35">
      <c r="G11719" s="15"/>
      <c r="N11719" s="10"/>
      <c r="O11719" s="16"/>
    </row>
    <row r="11720" spans="7:15" x14ac:dyDescent="0.35">
      <c r="G11720" s="15"/>
      <c r="N11720" s="10"/>
      <c r="O11720" s="16"/>
    </row>
    <row r="11721" spans="7:15" x14ac:dyDescent="0.35">
      <c r="G11721" s="15"/>
      <c r="N11721" s="10"/>
      <c r="O11721" s="16"/>
    </row>
    <row r="11722" spans="7:15" x14ac:dyDescent="0.35">
      <c r="G11722" s="15"/>
      <c r="N11722" s="10"/>
      <c r="O11722" s="16"/>
    </row>
    <row r="11723" spans="7:15" x14ac:dyDescent="0.35">
      <c r="G11723" s="15"/>
      <c r="N11723" s="10"/>
      <c r="O11723" s="16"/>
    </row>
    <row r="11724" spans="7:15" x14ac:dyDescent="0.35">
      <c r="G11724" s="15"/>
      <c r="N11724" s="10"/>
      <c r="O11724" s="16"/>
    </row>
    <row r="11725" spans="7:15" x14ac:dyDescent="0.35">
      <c r="G11725" s="15"/>
      <c r="N11725" s="10"/>
      <c r="O11725" s="16"/>
    </row>
    <row r="11726" spans="7:15" x14ac:dyDescent="0.35">
      <c r="G11726" s="15"/>
      <c r="N11726" s="10"/>
      <c r="O11726" s="16"/>
    </row>
    <row r="11727" spans="7:15" x14ac:dyDescent="0.35">
      <c r="G11727" s="15"/>
      <c r="N11727" s="10"/>
      <c r="O11727" s="16"/>
    </row>
    <row r="11728" spans="7:15" x14ac:dyDescent="0.35">
      <c r="G11728" s="15"/>
      <c r="N11728" s="10"/>
      <c r="O11728" s="16"/>
    </row>
    <row r="11729" spans="7:17" x14ac:dyDescent="0.35">
      <c r="G11729" s="15"/>
      <c r="N11729" s="10"/>
      <c r="O11729" s="16"/>
    </row>
    <row r="11730" spans="7:17" x14ac:dyDescent="0.35">
      <c r="G11730" s="15"/>
      <c r="N11730" s="10"/>
      <c r="O11730" s="16"/>
    </row>
    <row r="11731" spans="7:17" x14ac:dyDescent="0.35">
      <c r="G11731" s="15"/>
      <c r="N11731" s="10"/>
      <c r="O11731" s="16"/>
    </row>
    <row r="11732" spans="7:17" x14ac:dyDescent="0.35">
      <c r="G11732" s="15"/>
      <c r="N11732" s="10"/>
      <c r="O11732" s="16"/>
    </row>
    <row r="11733" spans="7:17" x14ac:dyDescent="0.35">
      <c r="G11733" s="15"/>
      <c r="N11733" s="10"/>
      <c r="O11733" s="16"/>
    </row>
    <row r="11734" spans="7:17" x14ac:dyDescent="0.35">
      <c r="G11734" s="15"/>
      <c r="N11734" s="10"/>
      <c r="O11734" s="16"/>
    </row>
    <row r="11735" spans="7:17" x14ac:dyDescent="0.35">
      <c r="G11735" s="15"/>
      <c r="N11735" s="10"/>
      <c r="O11735" s="16"/>
    </row>
    <row r="11736" spans="7:17" x14ac:dyDescent="0.35">
      <c r="G11736" s="15"/>
      <c r="N11736" s="10"/>
      <c r="O11736" s="16"/>
    </row>
    <row r="11737" spans="7:17" x14ac:dyDescent="0.35">
      <c r="G11737" s="15"/>
      <c r="N11737" s="10"/>
      <c r="O11737" s="16"/>
    </row>
    <row r="11738" spans="7:17" x14ac:dyDescent="0.35">
      <c r="G11738" s="15"/>
      <c r="N11738" s="10"/>
      <c r="O11738" s="16"/>
    </row>
    <row r="11739" spans="7:17" x14ac:dyDescent="0.35">
      <c r="G11739" s="15"/>
      <c r="N11739" s="10"/>
      <c r="O11739" s="16"/>
    </row>
    <row r="11740" spans="7:17" x14ac:dyDescent="0.35">
      <c r="G11740" s="15"/>
      <c r="N11740" s="10"/>
      <c r="O11740" s="16"/>
    </row>
    <row r="11741" spans="7:17" x14ac:dyDescent="0.35">
      <c r="G11741" s="15"/>
      <c r="N11741" s="10"/>
      <c r="O11741" s="16"/>
      <c r="Q11741" s="17"/>
    </row>
    <row r="11742" spans="7:17" x14ac:dyDescent="0.35">
      <c r="G11742" s="15"/>
      <c r="N11742" s="10"/>
      <c r="O11742" s="16"/>
    </row>
    <row r="11743" spans="7:17" x14ac:dyDescent="0.35">
      <c r="G11743" s="15"/>
      <c r="N11743" s="10"/>
      <c r="O11743" s="16"/>
    </row>
    <row r="11744" spans="7:17" x14ac:dyDescent="0.35">
      <c r="G11744" s="15"/>
      <c r="N11744" s="10"/>
      <c r="O11744" s="16"/>
    </row>
    <row r="11745" spans="7:15" x14ac:dyDescent="0.35">
      <c r="G11745" s="15"/>
      <c r="N11745" s="10"/>
      <c r="O11745" s="16"/>
    </row>
    <row r="11746" spans="7:15" x14ac:dyDescent="0.35">
      <c r="G11746" s="15"/>
      <c r="N11746" s="10"/>
      <c r="O11746" s="16"/>
    </row>
    <row r="11747" spans="7:15" x14ac:dyDescent="0.35">
      <c r="G11747" s="15"/>
      <c r="N11747" s="10"/>
      <c r="O11747" s="16"/>
    </row>
    <row r="11748" spans="7:15" x14ac:dyDescent="0.35">
      <c r="G11748" s="15"/>
      <c r="N11748" s="10"/>
      <c r="O11748" s="16"/>
    </row>
    <row r="11749" spans="7:15" x14ac:dyDescent="0.35">
      <c r="G11749" s="15"/>
      <c r="N11749" s="10"/>
      <c r="O11749" s="16"/>
    </row>
    <row r="11750" spans="7:15" x14ac:dyDescent="0.35">
      <c r="G11750" s="15"/>
      <c r="N11750" s="10"/>
      <c r="O11750" s="16"/>
    </row>
    <row r="11751" spans="7:15" x14ac:dyDescent="0.35">
      <c r="G11751" s="15"/>
      <c r="N11751" s="10"/>
      <c r="O11751" s="16"/>
    </row>
    <row r="11752" spans="7:15" x14ac:dyDescent="0.35">
      <c r="G11752" s="15"/>
      <c r="N11752" s="10"/>
      <c r="O11752" s="16"/>
    </row>
    <row r="11753" spans="7:15" x14ac:dyDescent="0.35">
      <c r="G11753" s="15"/>
      <c r="N11753" s="10"/>
      <c r="O11753" s="16"/>
    </row>
    <row r="11754" spans="7:15" x14ac:dyDescent="0.35">
      <c r="G11754" s="15"/>
      <c r="N11754" s="10"/>
      <c r="O11754" s="16"/>
    </row>
    <row r="11755" spans="7:15" x14ac:dyDescent="0.35">
      <c r="G11755" s="15"/>
      <c r="N11755" s="10"/>
      <c r="O11755" s="16"/>
    </row>
    <row r="11756" spans="7:15" x14ac:dyDescent="0.35">
      <c r="G11756" s="15"/>
      <c r="N11756" s="10"/>
      <c r="O11756" s="16"/>
    </row>
    <row r="11757" spans="7:15" x14ac:dyDescent="0.35">
      <c r="G11757" s="15"/>
      <c r="N11757" s="10"/>
      <c r="O11757" s="16"/>
    </row>
    <row r="11758" spans="7:15" x14ac:dyDescent="0.35">
      <c r="G11758" s="15"/>
      <c r="N11758" s="10"/>
      <c r="O11758" s="16"/>
    </row>
    <row r="11759" spans="7:15" x14ac:dyDescent="0.35">
      <c r="G11759" s="15"/>
      <c r="N11759" s="10"/>
      <c r="O11759" s="16"/>
    </row>
    <row r="11760" spans="7:15" x14ac:dyDescent="0.35">
      <c r="G11760" s="15"/>
      <c r="N11760" s="10"/>
      <c r="O11760" s="16"/>
    </row>
    <row r="11761" spans="7:15" x14ac:dyDescent="0.35">
      <c r="G11761" s="15"/>
      <c r="N11761" s="10"/>
      <c r="O11761" s="16"/>
    </row>
    <row r="11762" spans="7:15" x14ac:dyDescent="0.35">
      <c r="G11762" s="15"/>
      <c r="N11762" s="10"/>
      <c r="O11762" s="16"/>
    </row>
    <row r="11763" spans="7:15" x14ac:dyDescent="0.35">
      <c r="G11763" s="15"/>
      <c r="N11763" s="10"/>
      <c r="O11763" s="16"/>
    </row>
    <row r="11764" spans="7:15" x14ac:dyDescent="0.35">
      <c r="G11764" s="15"/>
      <c r="N11764" s="10"/>
      <c r="O11764" s="16"/>
    </row>
    <row r="11765" spans="7:15" x14ac:dyDescent="0.35">
      <c r="G11765" s="15"/>
      <c r="N11765" s="10"/>
      <c r="O11765" s="16"/>
    </row>
    <row r="11766" spans="7:15" x14ac:dyDescent="0.35">
      <c r="G11766" s="15"/>
      <c r="N11766" s="10"/>
      <c r="O11766" s="16"/>
    </row>
    <row r="11767" spans="7:15" x14ac:dyDescent="0.35">
      <c r="G11767" s="15"/>
      <c r="N11767" s="10"/>
      <c r="O11767" s="16"/>
    </row>
    <row r="11768" spans="7:15" x14ac:dyDescent="0.35">
      <c r="G11768" s="15"/>
      <c r="N11768" s="10"/>
      <c r="O11768" s="16"/>
    </row>
    <row r="11769" spans="7:15" x14ac:dyDescent="0.35">
      <c r="G11769" s="15"/>
      <c r="N11769" s="10"/>
      <c r="O11769" s="16"/>
    </row>
    <row r="11770" spans="7:15" x14ac:dyDescent="0.35">
      <c r="G11770" s="15"/>
      <c r="N11770" s="10"/>
      <c r="O11770" s="16"/>
    </row>
    <row r="11771" spans="7:15" x14ac:dyDescent="0.35">
      <c r="G11771" s="15"/>
      <c r="N11771" s="10"/>
      <c r="O11771" s="16"/>
    </row>
    <row r="11772" spans="7:15" x14ac:dyDescent="0.35">
      <c r="G11772" s="15"/>
      <c r="N11772" s="10"/>
      <c r="O11772" s="16"/>
    </row>
    <row r="11773" spans="7:15" x14ac:dyDescent="0.35">
      <c r="G11773" s="15"/>
      <c r="N11773" s="10"/>
      <c r="O11773" s="16"/>
    </row>
    <row r="11774" spans="7:15" x14ac:dyDescent="0.35">
      <c r="G11774" s="15"/>
      <c r="N11774" s="10"/>
      <c r="O11774" s="16"/>
    </row>
    <row r="11775" spans="7:15" x14ac:dyDescent="0.35">
      <c r="G11775" s="15"/>
      <c r="N11775" s="10"/>
      <c r="O11775" s="16"/>
    </row>
    <row r="11776" spans="7:15" x14ac:dyDescent="0.35">
      <c r="G11776" s="15"/>
      <c r="N11776" s="10"/>
      <c r="O11776" s="16"/>
    </row>
    <row r="11777" spans="7:15" x14ac:dyDescent="0.35">
      <c r="G11777" s="15"/>
      <c r="N11777" s="10"/>
      <c r="O11777" s="16"/>
    </row>
    <row r="11778" spans="7:15" x14ac:dyDescent="0.35">
      <c r="G11778" s="15"/>
      <c r="N11778" s="10"/>
      <c r="O11778" s="16"/>
    </row>
    <row r="11779" spans="7:15" x14ac:dyDescent="0.35">
      <c r="G11779" s="15"/>
      <c r="N11779" s="10"/>
      <c r="O11779" s="16"/>
    </row>
    <row r="11780" spans="7:15" x14ac:dyDescent="0.35">
      <c r="G11780" s="15"/>
      <c r="N11780" s="10"/>
      <c r="O11780" s="16"/>
    </row>
    <row r="11781" spans="7:15" x14ac:dyDescent="0.35">
      <c r="G11781" s="15"/>
      <c r="N11781" s="10"/>
      <c r="O11781" s="16"/>
    </row>
    <row r="11782" spans="7:15" x14ac:dyDescent="0.35">
      <c r="G11782" s="15"/>
      <c r="N11782" s="10"/>
      <c r="O11782" s="16"/>
    </row>
    <row r="11783" spans="7:15" x14ac:dyDescent="0.35">
      <c r="G11783" s="15"/>
      <c r="N11783" s="10"/>
      <c r="O11783" s="16"/>
    </row>
    <row r="11784" spans="7:15" x14ac:dyDescent="0.35">
      <c r="G11784" s="15"/>
      <c r="N11784" s="10"/>
      <c r="O11784" s="16"/>
    </row>
    <row r="11785" spans="7:15" x14ac:dyDescent="0.35">
      <c r="G11785" s="15"/>
      <c r="N11785" s="10"/>
      <c r="O11785" s="16"/>
    </row>
    <row r="11786" spans="7:15" x14ac:dyDescent="0.35">
      <c r="G11786" s="15"/>
      <c r="N11786" s="10"/>
      <c r="O11786" s="16"/>
    </row>
    <row r="11787" spans="7:15" x14ac:dyDescent="0.35">
      <c r="G11787" s="15"/>
      <c r="N11787" s="10"/>
      <c r="O11787" s="16"/>
    </row>
    <row r="11788" spans="7:15" x14ac:dyDescent="0.35">
      <c r="G11788" s="15"/>
      <c r="N11788" s="10"/>
      <c r="O11788" s="16"/>
    </row>
    <row r="11789" spans="7:15" x14ac:dyDescent="0.35">
      <c r="G11789" s="15"/>
      <c r="N11789" s="10"/>
      <c r="O11789" s="16"/>
    </row>
    <row r="11790" spans="7:15" x14ac:dyDescent="0.35">
      <c r="G11790" s="15"/>
      <c r="N11790" s="10"/>
      <c r="O11790" s="16"/>
    </row>
    <row r="11791" spans="7:15" x14ac:dyDescent="0.35">
      <c r="G11791" s="15"/>
      <c r="N11791" s="10"/>
      <c r="O11791" s="16"/>
    </row>
    <row r="11792" spans="7:15" x14ac:dyDescent="0.35">
      <c r="G11792" s="15"/>
      <c r="N11792" s="10"/>
      <c r="O11792" s="16"/>
    </row>
    <row r="11793" spans="7:15" x14ac:dyDescent="0.35">
      <c r="G11793" s="15"/>
      <c r="N11793" s="10"/>
      <c r="O11793" s="16"/>
    </row>
    <row r="11794" spans="7:15" x14ac:dyDescent="0.35">
      <c r="G11794" s="15"/>
      <c r="N11794" s="10"/>
      <c r="O11794" s="16"/>
    </row>
    <row r="11795" spans="7:15" x14ac:dyDescent="0.35">
      <c r="G11795" s="15"/>
      <c r="N11795" s="10"/>
      <c r="O11795" s="16"/>
    </row>
    <row r="11796" spans="7:15" x14ac:dyDescent="0.35">
      <c r="G11796" s="15"/>
      <c r="N11796" s="10"/>
      <c r="O11796" s="16"/>
    </row>
    <row r="11797" spans="7:15" x14ac:dyDescent="0.35">
      <c r="G11797" s="15"/>
      <c r="N11797" s="10"/>
      <c r="O11797" s="16"/>
    </row>
    <row r="11798" spans="7:15" x14ac:dyDescent="0.35">
      <c r="G11798" s="15"/>
      <c r="N11798" s="10"/>
      <c r="O11798" s="16"/>
    </row>
    <row r="11799" spans="7:15" x14ac:dyDescent="0.35">
      <c r="G11799" s="15"/>
      <c r="N11799" s="10"/>
      <c r="O11799" s="16"/>
    </row>
    <row r="11800" spans="7:15" x14ac:dyDescent="0.35">
      <c r="G11800" s="15"/>
      <c r="N11800" s="10"/>
      <c r="O11800" s="16"/>
    </row>
    <row r="11801" spans="7:15" x14ac:dyDescent="0.35">
      <c r="G11801" s="15"/>
      <c r="N11801" s="10"/>
      <c r="O11801" s="16"/>
    </row>
    <row r="11802" spans="7:15" x14ac:dyDescent="0.35">
      <c r="G11802" s="15"/>
      <c r="N11802" s="10"/>
      <c r="O11802" s="16"/>
    </row>
    <row r="11803" spans="7:15" x14ac:dyDescent="0.35">
      <c r="G11803" s="15"/>
      <c r="N11803" s="10"/>
      <c r="O11803" s="16"/>
    </row>
    <row r="11804" spans="7:15" x14ac:dyDescent="0.35">
      <c r="G11804" s="15"/>
      <c r="N11804" s="10"/>
      <c r="O11804" s="16"/>
    </row>
    <row r="11805" spans="7:15" x14ac:dyDescent="0.35">
      <c r="G11805" s="15"/>
      <c r="N11805" s="10"/>
      <c r="O11805" s="16"/>
    </row>
    <row r="11806" spans="7:15" x14ac:dyDescent="0.35">
      <c r="G11806" s="15"/>
      <c r="N11806" s="10"/>
      <c r="O11806" s="16"/>
    </row>
    <row r="11807" spans="7:15" x14ac:dyDescent="0.35">
      <c r="G11807" s="15"/>
      <c r="N11807" s="10"/>
      <c r="O11807" s="16"/>
    </row>
    <row r="11808" spans="7:15" x14ac:dyDescent="0.35">
      <c r="G11808" s="15"/>
      <c r="N11808" s="10"/>
      <c r="O11808" s="16"/>
    </row>
    <row r="11809" spans="7:15" x14ac:dyDescent="0.35">
      <c r="G11809" s="15"/>
      <c r="N11809" s="10"/>
      <c r="O11809" s="16"/>
    </row>
    <row r="11810" spans="7:15" x14ac:dyDescent="0.35">
      <c r="G11810" s="15"/>
      <c r="N11810" s="10"/>
      <c r="O11810" s="16"/>
    </row>
    <row r="11811" spans="7:15" x14ac:dyDescent="0.35">
      <c r="G11811" s="15"/>
      <c r="N11811" s="10"/>
      <c r="O11811" s="16"/>
    </row>
    <row r="11812" spans="7:15" x14ac:dyDescent="0.35">
      <c r="G11812" s="15"/>
      <c r="N11812" s="10"/>
      <c r="O11812" s="16"/>
    </row>
    <row r="11813" spans="7:15" x14ac:dyDescent="0.35">
      <c r="G11813" s="15"/>
      <c r="N11813" s="10"/>
      <c r="O11813" s="16"/>
    </row>
    <row r="11814" spans="7:15" x14ac:dyDescent="0.35">
      <c r="G11814" s="15"/>
      <c r="N11814" s="10"/>
      <c r="O11814" s="16"/>
    </row>
    <row r="11815" spans="7:15" x14ac:dyDescent="0.35">
      <c r="G11815" s="15"/>
      <c r="N11815" s="10"/>
      <c r="O11815" s="16"/>
    </row>
    <row r="11816" spans="7:15" x14ac:dyDescent="0.35">
      <c r="G11816" s="15"/>
      <c r="N11816" s="10"/>
      <c r="O11816" s="16"/>
    </row>
    <row r="11817" spans="7:15" x14ac:dyDescent="0.35">
      <c r="G11817" s="15"/>
      <c r="N11817" s="10"/>
      <c r="O11817" s="16"/>
    </row>
    <row r="11818" spans="7:15" x14ac:dyDescent="0.35">
      <c r="G11818" s="15"/>
      <c r="N11818" s="10"/>
      <c r="O11818" s="16"/>
    </row>
    <row r="11819" spans="7:15" x14ac:dyDescent="0.35">
      <c r="G11819" s="15"/>
      <c r="N11819" s="10"/>
      <c r="O11819" s="16"/>
    </row>
    <row r="11820" spans="7:15" x14ac:dyDescent="0.35">
      <c r="G11820" s="15"/>
      <c r="N11820" s="10"/>
      <c r="O11820" s="16"/>
    </row>
    <row r="11821" spans="7:15" x14ac:dyDescent="0.35">
      <c r="G11821" s="15"/>
      <c r="N11821" s="10"/>
      <c r="O11821" s="16"/>
    </row>
    <row r="11822" spans="7:15" x14ac:dyDescent="0.35">
      <c r="G11822" s="15"/>
      <c r="N11822" s="10"/>
      <c r="O11822" s="16"/>
    </row>
    <row r="11823" spans="7:15" x14ac:dyDescent="0.35">
      <c r="G11823" s="15"/>
      <c r="N11823" s="10"/>
      <c r="O11823" s="16"/>
    </row>
    <row r="11824" spans="7:15" x14ac:dyDescent="0.35">
      <c r="G11824" s="15"/>
      <c r="N11824" s="10"/>
      <c r="O11824" s="16"/>
    </row>
    <row r="11825" spans="7:15" x14ac:dyDescent="0.35">
      <c r="G11825" s="15"/>
      <c r="N11825" s="10"/>
      <c r="O11825" s="16"/>
    </row>
    <row r="11826" spans="7:15" x14ac:dyDescent="0.35">
      <c r="G11826" s="15"/>
      <c r="N11826" s="10"/>
      <c r="O11826" s="16"/>
    </row>
    <row r="11827" spans="7:15" x14ac:dyDescent="0.35">
      <c r="G11827" s="15"/>
      <c r="N11827" s="10"/>
      <c r="O11827" s="16"/>
    </row>
    <row r="11828" spans="7:15" x14ac:dyDescent="0.35">
      <c r="G11828" s="15"/>
      <c r="N11828" s="10"/>
      <c r="O11828" s="16"/>
    </row>
    <row r="11829" spans="7:15" x14ac:dyDescent="0.35">
      <c r="G11829" s="15"/>
      <c r="N11829" s="10"/>
      <c r="O11829" s="16"/>
    </row>
    <row r="11830" spans="7:15" x14ac:dyDescent="0.35">
      <c r="G11830" s="15"/>
      <c r="N11830" s="10"/>
      <c r="O11830" s="16"/>
    </row>
    <row r="11831" spans="7:15" x14ac:dyDescent="0.35">
      <c r="G11831" s="15"/>
      <c r="N11831" s="10"/>
      <c r="O11831" s="16"/>
    </row>
    <row r="11832" spans="7:15" x14ac:dyDescent="0.35">
      <c r="G11832" s="15"/>
      <c r="N11832" s="10"/>
      <c r="O11832" s="16"/>
    </row>
    <row r="11833" spans="7:15" x14ac:dyDescent="0.35">
      <c r="G11833" s="15"/>
      <c r="N11833" s="10"/>
      <c r="O11833" s="16"/>
    </row>
    <row r="11834" spans="7:15" x14ac:dyDescent="0.35">
      <c r="G11834" s="15"/>
      <c r="N11834" s="10"/>
      <c r="O11834" s="16"/>
    </row>
    <row r="11835" spans="7:15" x14ac:dyDescent="0.35">
      <c r="G11835" s="15"/>
      <c r="N11835" s="10"/>
      <c r="O11835" s="16"/>
    </row>
    <row r="11836" spans="7:15" x14ac:dyDescent="0.35">
      <c r="G11836" s="15"/>
      <c r="N11836" s="10"/>
      <c r="O11836" s="16"/>
    </row>
    <row r="11837" spans="7:15" x14ac:dyDescent="0.35">
      <c r="G11837" s="15"/>
      <c r="N11837" s="10"/>
      <c r="O11837" s="16"/>
    </row>
    <row r="11838" spans="7:15" x14ac:dyDescent="0.35">
      <c r="G11838" s="15"/>
      <c r="N11838" s="10"/>
      <c r="O11838" s="16"/>
    </row>
    <row r="11839" spans="7:15" x14ac:dyDescent="0.35">
      <c r="G11839" s="15"/>
      <c r="N11839" s="10"/>
      <c r="O11839" s="16"/>
    </row>
    <row r="11840" spans="7:15" x14ac:dyDescent="0.35">
      <c r="G11840" s="15"/>
      <c r="N11840" s="10"/>
      <c r="O11840" s="16"/>
    </row>
    <row r="11841" spans="7:15" x14ac:dyDescent="0.35">
      <c r="G11841" s="15"/>
      <c r="N11841" s="10"/>
      <c r="O11841" s="16"/>
    </row>
    <row r="11842" spans="7:15" x14ac:dyDescent="0.35">
      <c r="G11842" s="15"/>
      <c r="N11842" s="10"/>
      <c r="O11842" s="16"/>
    </row>
    <row r="11843" spans="7:15" x14ac:dyDescent="0.35">
      <c r="G11843" s="15"/>
      <c r="N11843" s="10"/>
      <c r="O11843" s="16"/>
    </row>
    <row r="11844" spans="7:15" x14ac:dyDescent="0.35">
      <c r="G11844" s="15"/>
      <c r="N11844" s="10"/>
      <c r="O11844" s="16"/>
    </row>
    <row r="11845" spans="7:15" x14ac:dyDescent="0.35">
      <c r="G11845" s="15"/>
      <c r="N11845" s="10"/>
      <c r="O11845" s="16"/>
    </row>
    <row r="11846" spans="7:15" x14ac:dyDescent="0.35">
      <c r="G11846" s="15"/>
      <c r="N11846" s="10"/>
      <c r="O11846" s="16"/>
    </row>
    <row r="11847" spans="7:15" x14ac:dyDescent="0.35">
      <c r="G11847" s="15"/>
      <c r="N11847" s="10"/>
      <c r="O11847" s="16"/>
    </row>
    <row r="11848" spans="7:15" x14ac:dyDescent="0.35">
      <c r="G11848" s="15"/>
      <c r="N11848" s="10"/>
      <c r="O11848" s="16"/>
    </row>
    <row r="11849" spans="7:15" x14ac:dyDescent="0.35">
      <c r="G11849" s="15"/>
      <c r="N11849" s="10"/>
      <c r="O11849" s="16"/>
    </row>
    <row r="11850" spans="7:15" x14ac:dyDescent="0.35">
      <c r="G11850" s="15"/>
      <c r="N11850" s="10"/>
      <c r="O11850" s="16"/>
    </row>
    <row r="11851" spans="7:15" x14ac:dyDescent="0.35">
      <c r="G11851" s="15"/>
      <c r="N11851" s="10"/>
      <c r="O11851" s="16"/>
    </row>
    <row r="11852" spans="7:15" x14ac:dyDescent="0.35">
      <c r="G11852" s="15"/>
      <c r="N11852" s="10"/>
      <c r="O11852" s="16"/>
    </row>
    <row r="11853" spans="7:15" x14ac:dyDescent="0.35">
      <c r="G11853" s="15"/>
      <c r="N11853" s="10"/>
      <c r="O11853" s="16"/>
    </row>
    <row r="11854" spans="7:15" x14ac:dyDescent="0.35">
      <c r="G11854" s="15"/>
      <c r="N11854" s="10"/>
      <c r="O11854" s="16"/>
    </row>
    <row r="11855" spans="7:15" x14ac:dyDescent="0.35">
      <c r="G11855" s="15"/>
      <c r="N11855" s="10"/>
      <c r="O11855" s="16"/>
    </row>
    <row r="11856" spans="7:15" x14ac:dyDescent="0.35">
      <c r="G11856" s="15"/>
      <c r="N11856" s="10"/>
      <c r="O11856" s="16"/>
    </row>
    <row r="11857" spans="7:15" x14ac:dyDescent="0.35">
      <c r="G11857" s="15"/>
      <c r="N11857" s="10"/>
      <c r="O11857" s="16"/>
    </row>
    <row r="11858" spans="7:15" x14ac:dyDescent="0.35">
      <c r="G11858" s="15"/>
      <c r="N11858" s="10"/>
      <c r="O11858" s="16"/>
    </row>
    <row r="11859" spans="7:15" x14ac:dyDescent="0.35">
      <c r="G11859" s="15"/>
      <c r="N11859" s="10"/>
      <c r="O11859" s="16"/>
    </row>
    <row r="11860" spans="7:15" x14ac:dyDescent="0.35">
      <c r="G11860" s="15"/>
      <c r="N11860" s="10"/>
      <c r="O11860" s="16"/>
    </row>
    <row r="11861" spans="7:15" x14ac:dyDescent="0.35">
      <c r="G11861" s="15"/>
      <c r="N11861" s="10"/>
      <c r="O11861" s="16"/>
    </row>
    <row r="11862" spans="7:15" x14ac:dyDescent="0.35">
      <c r="G11862" s="15"/>
      <c r="N11862" s="10"/>
      <c r="O11862" s="16"/>
    </row>
    <row r="11863" spans="7:15" x14ac:dyDescent="0.35">
      <c r="G11863" s="15"/>
      <c r="N11863" s="10"/>
      <c r="O11863" s="16"/>
    </row>
    <row r="11864" spans="7:15" x14ac:dyDescent="0.35">
      <c r="G11864" s="15"/>
      <c r="N11864" s="10"/>
      <c r="O11864" s="16"/>
    </row>
    <row r="11865" spans="7:15" x14ac:dyDescent="0.35">
      <c r="G11865" s="15"/>
      <c r="N11865" s="10"/>
      <c r="O11865" s="16"/>
    </row>
    <row r="11866" spans="7:15" x14ac:dyDescent="0.35">
      <c r="G11866" s="15"/>
      <c r="N11866" s="10"/>
      <c r="O11866" s="16"/>
    </row>
    <row r="11867" spans="7:15" x14ac:dyDescent="0.35">
      <c r="G11867" s="15"/>
      <c r="N11867" s="10"/>
      <c r="O11867" s="16"/>
    </row>
    <row r="11868" spans="7:15" x14ac:dyDescent="0.35">
      <c r="G11868" s="15"/>
      <c r="N11868" s="10"/>
      <c r="O11868" s="16"/>
    </row>
    <row r="11869" spans="7:15" x14ac:dyDescent="0.35">
      <c r="G11869" s="15"/>
      <c r="N11869" s="10"/>
      <c r="O11869" s="16"/>
    </row>
    <row r="11870" spans="7:15" x14ac:dyDescent="0.35">
      <c r="G11870" s="15"/>
      <c r="N11870" s="10"/>
      <c r="O11870" s="16"/>
    </row>
    <row r="11871" spans="7:15" x14ac:dyDescent="0.35">
      <c r="G11871" s="15"/>
      <c r="N11871" s="10"/>
      <c r="O11871" s="16"/>
    </row>
    <row r="11872" spans="7:15" x14ac:dyDescent="0.35">
      <c r="G11872" s="15"/>
      <c r="N11872" s="10"/>
      <c r="O11872" s="16"/>
    </row>
    <row r="11873" spans="7:15" x14ac:dyDescent="0.35">
      <c r="G11873" s="15"/>
      <c r="N11873" s="10"/>
      <c r="O11873" s="16"/>
    </row>
    <row r="11874" spans="7:15" x14ac:dyDescent="0.35">
      <c r="G11874" s="15"/>
      <c r="N11874" s="10"/>
      <c r="O11874" s="16"/>
    </row>
    <row r="11875" spans="7:15" x14ac:dyDescent="0.35">
      <c r="G11875" s="15"/>
      <c r="N11875" s="10"/>
      <c r="O11875" s="16"/>
    </row>
    <row r="11876" spans="7:15" x14ac:dyDescent="0.35">
      <c r="G11876" s="15"/>
      <c r="N11876" s="10"/>
      <c r="O11876" s="16"/>
    </row>
    <row r="11877" spans="7:15" x14ac:dyDescent="0.35">
      <c r="G11877" s="15"/>
      <c r="N11877" s="10"/>
      <c r="O11877" s="16"/>
    </row>
    <row r="11878" spans="7:15" x14ac:dyDescent="0.35">
      <c r="G11878" s="15"/>
      <c r="N11878" s="10"/>
      <c r="O11878" s="16"/>
    </row>
    <row r="11879" spans="7:15" x14ac:dyDescent="0.35">
      <c r="G11879" s="15"/>
      <c r="N11879" s="10"/>
      <c r="O11879" s="16"/>
    </row>
    <row r="11880" spans="7:15" x14ac:dyDescent="0.35">
      <c r="G11880" s="15"/>
      <c r="N11880" s="10"/>
      <c r="O11880" s="16"/>
    </row>
    <row r="11881" spans="7:15" x14ac:dyDescent="0.35">
      <c r="G11881" s="15"/>
      <c r="N11881" s="10"/>
      <c r="O11881" s="16"/>
    </row>
    <row r="11882" spans="7:15" x14ac:dyDescent="0.35">
      <c r="G11882" s="15"/>
      <c r="N11882" s="10"/>
      <c r="O11882" s="16"/>
    </row>
    <row r="11883" spans="7:15" x14ac:dyDescent="0.35">
      <c r="G11883" s="15"/>
      <c r="N11883" s="10"/>
      <c r="O11883" s="16"/>
    </row>
    <row r="11884" spans="7:15" x14ac:dyDescent="0.35">
      <c r="G11884" s="15"/>
      <c r="N11884" s="10"/>
      <c r="O11884" s="16"/>
    </row>
    <row r="11885" spans="7:15" x14ac:dyDescent="0.35">
      <c r="G11885" s="15"/>
      <c r="N11885" s="10"/>
      <c r="O11885" s="16"/>
    </row>
    <row r="11886" spans="7:15" x14ac:dyDescent="0.35">
      <c r="G11886" s="15"/>
      <c r="N11886" s="10"/>
      <c r="O11886" s="16"/>
    </row>
    <row r="11887" spans="7:15" x14ac:dyDescent="0.35">
      <c r="G11887" s="15"/>
      <c r="N11887" s="10"/>
      <c r="O11887" s="16"/>
    </row>
    <row r="11888" spans="7:15" x14ac:dyDescent="0.35">
      <c r="G11888" s="15"/>
      <c r="N11888" s="10"/>
      <c r="O11888" s="16"/>
    </row>
    <row r="11889" spans="7:15" x14ac:dyDescent="0.35">
      <c r="G11889" s="15"/>
      <c r="N11889" s="10"/>
      <c r="O11889" s="16"/>
    </row>
    <row r="11890" spans="7:15" x14ac:dyDescent="0.35">
      <c r="G11890" s="15"/>
      <c r="N11890" s="10"/>
      <c r="O11890" s="16"/>
    </row>
    <row r="11891" spans="7:15" x14ac:dyDescent="0.35">
      <c r="G11891" s="15"/>
      <c r="N11891" s="10"/>
      <c r="O11891" s="16"/>
    </row>
    <row r="11892" spans="7:15" x14ac:dyDescent="0.35">
      <c r="G11892" s="15"/>
      <c r="N11892" s="10"/>
      <c r="O11892" s="16"/>
    </row>
    <row r="11893" spans="7:15" x14ac:dyDescent="0.35">
      <c r="G11893" s="15"/>
      <c r="N11893" s="10"/>
      <c r="O11893" s="16"/>
    </row>
    <row r="11894" spans="7:15" x14ac:dyDescent="0.35">
      <c r="G11894" s="15"/>
      <c r="N11894" s="10"/>
      <c r="O11894" s="16"/>
    </row>
    <row r="11895" spans="7:15" x14ac:dyDescent="0.35">
      <c r="G11895" s="15"/>
      <c r="N11895" s="10"/>
      <c r="O11895" s="16"/>
    </row>
    <row r="11896" spans="7:15" x14ac:dyDescent="0.35">
      <c r="G11896" s="15"/>
      <c r="N11896" s="10"/>
      <c r="O11896" s="16"/>
    </row>
    <row r="11897" spans="7:15" x14ac:dyDescent="0.35">
      <c r="G11897" s="15"/>
      <c r="N11897" s="10"/>
      <c r="O11897" s="16"/>
    </row>
    <row r="11898" spans="7:15" x14ac:dyDescent="0.35">
      <c r="G11898" s="15"/>
      <c r="N11898" s="10"/>
      <c r="O11898" s="16"/>
    </row>
    <row r="11899" spans="7:15" x14ac:dyDescent="0.35">
      <c r="G11899" s="15"/>
      <c r="N11899" s="10"/>
      <c r="O11899" s="16"/>
    </row>
    <row r="11900" spans="7:15" x14ac:dyDescent="0.35">
      <c r="G11900" s="15"/>
      <c r="N11900" s="10"/>
      <c r="O11900" s="16"/>
    </row>
    <row r="11901" spans="7:15" x14ac:dyDescent="0.35">
      <c r="G11901" s="15"/>
      <c r="N11901" s="10"/>
      <c r="O11901" s="16"/>
    </row>
    <row r="11902" spans="7:15" x14ac:dyDescent="0.35">
      <c r="G11902" s="15"/>
      <c r="N11902" s="10"/>
      <c r="O11902" s="16"/>
    </row>
    <row r="11903" spans="7:15" x14ac:dyDescent="0.35">
      <c r="G11903" s="15"/>
      <c r="N11903" s="10"/>
      <c r="O11903" s="16"/>
    </row>
    <row r="11904" spans="7:15" x14ac:dyDescent="0.35">
      <c r="G11904" s="15"/>
      <c r="N11904" s="10"/>
      <c r="O11904" s="16"/>
    </row>
    <row r="11905" spans="7:15" x14ac:dyDescent="0.35">
      <c r="G11905" s="15"/>
      <c r="N11905" s="10"/>
      <c r="O11905" s="16"/>
    </row>
    <row r="11906" spans="7:15" x14ac:dyDescent="0.35">
      <c r="G11906" s="15"/>
      <c r="N11906" s="10"/>
      <c r="O11906" s="16"/>
    </row>
    <row r="11907" spans="7:15" x14ac:dyDescent="0.35">
      <c r="G11907" s="15"/>
      <c r="N11907" s="10"/>
      <c r="O11907" s="16"/>
    </row>
    <row r="11908" spans="7:15" x14ac:dyDescent="0.35">
      <c r="G11908" s="15"/>
      <c r="N11908" s="10"/>
      <c r="O11908" s="16"/>
    </row>
    <row r="11909" spans="7:15" x14ac:dyDescent="0.35">
      <c r="G11909" s="15"/>
      <c r="N11909" s="10"/>
      <c r="O11909" s="16"/>
    </row>
    <row r="11910" spans="7:15" x14ac:dyDescent="0.35">
      <c r="G11910" s="15"/>
      <c r="N11910" s="10"/>
      <c r="O11910" s="16"/>
    </row>
    <row r="11911" spans="7:15" x14ac:dyDescent="0.35">
      <c r="G11911" s="15"/>
      <c r="N11911" s="10"/>
      <c r="O11911" s="16"/>
    </row>
    <row r="11912" spans="7:15" x14ac:dyDescent="0.35">
      <c r="G11912" s="15"/>
      <c r="N11912" s="10"/>
      <c r="O11912" s="16"/>
    </row>
    <row r="11913" spans="7:15" x14ac:dyDescent="0.35">
      <c r="G11913" s="15"/>
      <c r="N11913" s="10"/>
      <c r="O11913" s="16"/>
    </row>
    <row r="11914" spans="7:15" x14ac:dyDescent="0.35">
      <c r="G11914" s="15"/>
      <c r="N11914" s="10"/>
      <c r="O11914" s="16"/>
    </row>
    <row r="11915" spans="7:15" x14ac:dyDescent="0.35">
      <c r="G11915" s="15"/>
      <c r="N11915" s="10"/>
      <c r="O11915" s="16"/>
    </row>
    <row r="11916" spans="7:15" x14ac:dyDescent="0.35">
      <c r="G11916" s="15"/>
      <c r="N11916" s="10"/>
      <c r="O11916" s="16"/>
    </row>
    <row r="11917" spans="7:15" x14ac:dyDescent="0.35">
      <c r="G11917" s="15"/>
      <c r="N11917" s="10"/>
      <c r="O11917" s="16"/>
    </row>
    <row r="11918" spans="7:15" x14ac:dyDescent="0.35">
      <c r="G11918" s="15"/>
      <c r="N11918" s="10"/>
      <c r="O11918" s="16"/>
    </row>
    <row r="11919" spans="7:15" x14ac:dyDescent="0.35">
      <c r="G11919" s="15"/>
      <c r="N11919" s="10"/>
      <c r="O11919" s="16"/>
    </row>
    <row r="11920" spans="7:15" x14ac:dyDescent="0.35">
      <c r="G11920" s="15"/>
      <c r="N11920" s="10"/>
      <c r="O11920" s="16"/>
    </row>
    <row r="11921" spans="7:15" x14ac:dyDescent="0.35">
      <c r="G11921" s="15"/>
      <c r="N11921" s="10"/>
      <c r="O11921" s="16"/>
    </row>
    <row r="11922" spans="7:15" x14ac:dyDescent="0.35">
      <c r="G11922" s="15"/>
      <c r="N11922" s="10"/>
      <c r="O11922" s="16"/>
    </row>
    <row r="11923" spans="7:15" x14ac:dyDescent="0.35">
      <c r="G11923" s="15"/>
      <c r="N11923" s="10"/>
      <c r="O11923" s="16"/>
    </row>
    <row r="11924" spans="7:15" x14ac:dyDescent="0.35">
      <c r="G11924" s="15"/>
      <c r="N11924" s="10"/>
      <c r="O11924" s="16"/>
    </row>
    <row r="11925" spans="7:15" x14ac:dyDescent="0.35">
      <c r="G11925" s="15"/>
      <c r="N11925" s="10"/>
      <c r="O11925" s="16"/>
    </row>
    <row r="11926" spans="7:15" x14ac:dyDescent="0.35">
      <c r="G11926" s="15"/>
      <c r="N11926" s="10"/>
      <c r="O11926" s="16"/>
    </row>
    <row r="11927" spans="7:15" x14ac:dyDescent="0.35">
      <c r="G11927" s="15"/>
      <c r="N11927" s="10"/>
      <c r="O11927" s="16"/>
    </row>
    <row r="11928" spans="7:15" x14ac:dyDescent="0.35">
      <c r="G11928" s="15"/>
      <c r="N11928" s="10"/>
      <c r="O11928" s="16"/>
    </row>
    <row r="11929" spans="7:15" x14ac:dyDescent="0.35">
      <c r="G11929" s="15"/>
      <c r="N11929" s="10"/>
      <c r="O11929" s="16"/>
    </row>
    <row r="11930" spans="7:15" x14ac:dyDescent="0.35">
      <c r="G11930" s="15"/>
      <c r="N11930" s="10"/>
      <c r="O11930" s="16"/>
    </row>
    <row r="11931" spans="7:15" x14ac:dyDescent="0.35">
      <c r="G11931" s="15"/>
      <c r="N11931" s="10"/>
      <c r="O11931" s="16"/>
    </row>
    <row r="11932" spans="7:15" x14ac:dyDescent="0.35">
      <c r="G11932" s="15"/>
      <c r="N11932" s="10"/>
      <c r="O11932" s="16"/>
    </row>
    <row r="11933" spans="7:15" x14ac:dyDescent="0.35">
      <c r="G11933" s="15"/>
      <c r="N11933" s="10"/>
      <c r="O11933" s="16"/>
    </row>
    <row r="11934" spans="7:15" x14ac:dyDescent="0.35">
      <c r="G11934" s="15"/>
      <c r="N11934" s="10"/>
      <c r="O11934" s="16"/>
    </row>
    <row r="11935" spans="7:15" x14ac:dyDescent="0.35">
      <c r="G11935" s="15"/>
      <c r="N11935" s="10"/>
      <c r="O11935" s="16"/>
    </row>
    <row r="11936" spans="7:15" x14ac:dyDescent="0.35">
      <c r="G11936" s="15"/>
      <c r="N11936" s="10"/>
      <c r="O11936" s="16"/>
    </row>
    <row r="11937" spans="7:15" x14ac:dyDescent="0.35">
      <c r="G11937" s="15"/>
      <c r="N11937" s="10"/>
      <c r="O11937" s="16"/>
    </row>
    <row r="11938" spans="7:15" x14ac:dyDescent="0.35">
      <c r="G11938" s="15"/>
      <c r="N11938" s="10"/>
      <c r="O11938" s="16"/>
    </row>
    <row r="11939" spans="7:15" x14ac:dyDescent="0.35">
      <c r="G11939" s="15"/>
      <c r="N11939" s="10"/>
      <c r="O11939" s="16"/>
    </row>
    <row r="11940" spans="7:15" x14ac:dyDescent="0.35">
      <c r="G11940" s="15"/>
      <c r="N11940" s="10"/>
      <c r="O11940" s="16"/>
    </row>
    <row r="11941" spans="7:15" x14ac:dyDescent="0.35">
      <c r="G11941" s="15"/>
      <c r="N11941" s="10"/>
      <c r="O11941" s="16"/>
    </row>
    <row r="11942" spans="7:15" x14ac:dyDescent="0.35">
      <c r="G11942" s="15"/>
      <c r="N11942" s="10"/>
      <c r="O11942" s="16"/>
    </row>
    <row r="11943" spans="7:15" x14ac:dyDescent="0.35">
      <c r="G11943" s="15"/>
      <c r="N11943" s="10"/>
      <c r="O11943" s="16"/>
    </row>
    <row r="11944" spans="7:15" x14ac:dyDescent="0.35">
      <c r="G11944" s="15"/>
      <c r="N11944" s="10"/>
      <c r="O11944" s="16"/>
    </row>
    <row r="11945" spans="7:15" x14ac:dyDescent="0.35">
      <c r="G11945" s="15"/>
      <c r="N11945" s="10"/>
      <c r="O11945" s="16"/>
    </row>
    <row r="11946" spans="7:15" x14ac:dyDescent="0.35">
      <c r="G11946" s="15"/>
      <c r="N11946" s="10"/>
      <c r="O11946" s="16"/>
    </row>
    <row r="11947" spans="7:15" x14ac:dyDescent="0.35">
      <c r="G11947" s="15"/>
      <c r="N11947" s="10"/>
      <c r="O11947" s="16"/>
    </row>
    <row r="11948" spans="7:15" x14ac:dyDescent="0.35">
      <c r="G11948" s="15"/>
      <c r="N11948" s="10"/>
      <c r="O11948" s="16"/>
    </row>
    <row r="11949" spans="7:15" x14ac:dyDescent="0.35">
      <c r="G11949" s="15"/>
      <c r="N11949" s="10"/>
      <c r="O11949" s="16"/>
    </row>
    <row r="11950" spans="7:15" x14ac:dyDescent="0.35">
      <c r="G11950" s="15"/>
      <c r="N11950" s="10"/>
      <c r="O11950" s="16"/>
    </row>
    <row r="11951" spans="7:15" x14ac:dyDescent="0.35">
      <c r="G11951" s="15"/>
      <c r="N11951" s="10"/>
      <c r="O11951" s="16"/>
    </row>
    <row r="11952" spans="7:15" x14ac:dyDescent="0.35">
      <c r="G11952" s="15"/>
      <c r="N11952" s="10"/>
      <c r="O11952" s="16"/>
    </row>
    <row r="11953" spans="7:15" x14ac:dyDescent="0.35">
      <c r="G11953" s="15"/>
      <c r="N11953" s="10"/>
      <c r="O11953" s="16"/>
    </row>
    <row r="11954" spans="7:15" x14ac:dyDescent="0.35">
      <c r="G11954" s="15"/>
      <c r="N11954" s="10"/>
      <c r="O11954" s="16"/>
    </row>
    <row r="11955" spans="7:15" x14ac:dyDescent="0.35">
      <c r="G11955" s="15"/>
      <c r="N11955" s="10"/>
      <c r="O11955" s="16"/>
    </row>
    <row r="11956" spans="7:15" x14ac:dyDescent="0.35">
      <c r="G11956" s="15"/>
      <c r="N11956" s="10"/>
      <c r="O11956" s="16"/>
    </row>
    <row r="11957" spans="7:15" x14ac:dyDescent="0.35">
      <c r="G11957" s="15"/>
      <c r="N11957" s="10"/>
      <c r="O11957" s="16"/>
    </row>
    <row r="11958" spans="7:15" x14ac:dyDescent="0.35">
      <c r="G11958" s="15"/>
      <c r="N11958" s="10"/>
      <c r="O11958" s="16"/>
    </row>
    <row r="11959" spans="7:15" x14ac:dyDescent="0.35">
      <c r="G11959" s="15"/>
      <c r="N11959" s="10"/>
      <c r="O11959" s="16"/>
    </row>
    <row r="11960" spans="7:15" x14ac:dyDescent="0.35">
      <c r="G11960" s="15"/>
      <c r="N11960" s="10"/>
      <c r="O11960" s="16"/>
    </row>
    <row r="11961" spans="7:15" x14ac:dyDescent="0.35">
      <c r="G11961" s="15"/>
      <c r="N11961" s="10"/>
      <c r="O11961" s="16"/>
    </row>
    <row r="11962" spans="7:15" x14ac:dyDescent="0.35">
      <c r="G11962" s="15"/>
      <c r="N11962" s="10"/>
      <c r="O11962" s="16"/>
    </row>
    <row r="11963" spans="7:15" x14ac:dyDescent="0.35">
      <c r="G11963" s="15"/>
      <c r="N11963" s="10"/>
      <c r="O11963" s="16"/>
    </row>
    <row r="11964" spans="7:15" x14ac:dyDescent="0.35">
      <c r="G11964" s="15"/>
      <c r="N11964" s="10"/>
      <c r="O11964" s="16"/>
    </row>
    <row r="11965" spans="7:15" x14ac:dyDescent="0.35">
      <c r="G11965" s="15"/>
      <c r="N11965" s="10"/>
      <c r="O11965" s="16"/>
    </row>
    <row r="11966" spans="7:15" x14ac:dyDescent="0.35">
      <c r="G11966" s="15"/>
      <c r="N11966" s="10"/>
      <c r="O11966" s="16"/>
    </row>
    <row r="11967" spans="7:15" x14ac:dyDescent="0.35">
      <c r="G11967" s="15"/>
      <c r="N11967" s="10"/>
      <c r="O11967" s="16"/>
    </row>
    <row r="11968" spans="7:15" x14ac:dyDescent="0.35">
      <c r="G11968" s="15"/>
      <c r="N11968" s="10"/>
      <c r="O11968" s="16"/>
    </row>
    <row r="11969" spans="7:15" x14ac:dyDescent="0.35">
      <c r="G11969" s="15"/>
      <c r="N11969" s="10"/>
      <c r="O11969" s="16"/>
    </row>
    <row r="11970" spans="7:15" x14ac:dyDescent="0.35">
      <c r="G11970" s="15"/>
      <c r="N11970" s="10"/>
      <c r="O11970" s="16"/>
    </row>
    <row r="11971" spans="7:15" x14ac:dyDescent="0.35">
      <c r="G11971" s="15"/>
      <c r="N11971" s="10"/>
      <c r="O11971" s="16"/>
    </row>
    <row r="11972" spans="7:15" x14ac:dyDescent="0.35">
      <c r="G11972" s="15"/>
      <c r="N11972" s="10"/>
      <c r="O11972" s="16"/>
    </row>
    <row r="11973" spans="7:15" x14ac:dyDescent="0.35">
      <c r="G11973" s="15"/>
      <c r="N11973" s="10"/>
      <c r="O11973" s="16"/>
    </row>
    <row r="11974" spans="7:15" x14ac:dyDescent="0.35">
      <c r="G11974" s="15"/>
      <c r="N11974" s="10"/>
      <c r="O11974" s="16"/>
    </row>
    <row r="11975" spans="7:15" x14ac:dyDescent="0.35">
      <c r="G11975" s="15"/>
      <c r="N11975" s="10"/>
      <c r="O11975" s="16"/>
    </row>
    <row r="11976" spans="7:15" x14ac:dyDescent="0.35">
      <c r="G11976" s="15"/>
      <c r="N11976" s="10"/>
      <c r="O11976" s="16"/>
    </row>
    <row r="11977" spans="7:15" x14ac:dyDescent="0.35">
      <c r="G11977" s="15"/>
      <c r="N11977" s="10"/>
      <c r="O11977" s="16"/>
    </row>
    <row r="11978" spans="7:15" x14ac:dyDescent="0.35">
      <c r="G11978" s="15"/>
      <c r="N11978" s="10"/>
      <c r="O11978" s="16"/>
    </row>
    <row r="11979" spans="7:15" x14ac:dyDescent="0.35">
      <c r="G11979" s="15"/>
      <c r="N11979" s="10"/>
      <c r="O11979" s="16"/>
    </row>
    <row r="11980" spans="7:15" x14ac:dyDescent="0.35">
      <c r="G11980" s="15"/>
      <c r="N11980" s="10"/>
      <c r="O11980" s="16"/>
    </row>
    <row r="11981" spans="7:15" x14ac:dyDescent="0.35">
      <c r="G11981" s="15"/>
      <c r="N11981" s="10"/>
      <c r="O11981" s="16"/>
    </row>
    <row r="11982" spans="7:15" x14ac:dyDescent="0.35">
      <c r="G11982" s="15"/>
      <c r="N11982" s="10"/>
      <c r="O11982" s="16"/>
    </row>
    <row r="11983" spans="7:15" x14ac:dyDescent="0.35">
      <c r="G11983" s="15"/>
      <c r="N11983" s="10"/>
      <c r="O11983" s="16"/>
    </row>
    <row r="11984" spans="7:15" x14ac:dyDescent="0.35">
      <c r="G11984" s="15"/>
      <c r="N11984" s="10"/>
      <c r="O11984" s="16"/>
    </row>
    <row r="11985" spans="7:15" x14ac:dyDescent="0.35">
      <c r="G11985" s="15"/>
      <c r="N11985" s="10"/>
      <c r="O11985" s="16"/>
    </row>
    <row r="11986" spans="7:15" x14ac:dyDescent="0.35">
      <c r="G11986" s="15"/>
      <c r="N11986" s="10"/>
      <c r="O11986" s="16"/>
    </row>
    <row r="11987" spans="7:15" x14ac:dyDescent="0.35">
      <c r="G11987" s="15"/>
      <c r="N11987" s="10"/>
      <c r="O11987" s="16"/>
    </row>
    <row r="11988" spans="7:15" x14ac:dyDescent="0.35">
      <c r="G11988" s="15"/>
      <c r="N11988" s="10"/>
      <c r="O11988" s="16"/>
    </row>
    <row r="11989" spans="7:15" x14ac:dyDescent="0.35">
      <c r="G11989" s="15"/>
      <c r="N11989" s="10"/>
      <c r="O11989" s="16"/>
    </row>
    <row r="11990" spans="7:15" x14ac:dyDescent="0.35">
      <c r="G11990" s="15"/>
      <c r="N11990" s="10"/>
      <c r="O11990" s="16"/>
    </row>
    <row r="11991" spans="7:15" x14ac:dyDescent="0.35">
      <c r="G11991" s="15"/>
      <c r="N11991" s="10"/>
      <c r="O11991" s="16"/>
    </row>
    <row r="11992" spans="7:15" x14ac:dyDescent="0.35">
      <c r="G11992" s="15"/>
      <c r="N11992" s="10"/>
      <c r="O11992" s="16"/>
    </row>
    <row r="11993" spans="7:15" x14ac:dyDescent="0.35">
      <c r="G11993" s="15"/>
      <c r="N11993" s="10"/>
      <c r="O11993" s="16"/>
    </row>
    <row r="11994" spans="7:15" x14ac:dyDescent="0.35">
      <c r="G11994" s="15"/>
      <c r="N11994" s="10"/>
      <c r="O11994" s="16"/>
    </row>
    <row r="11995" spans="7:15" x14ac:dyDescent="0.35">
      <c r="G11995" s="15"/>
      <c r="N11995" s="10"/>
      <c r="O11995" s="16"/>
    </row>
    <row r="11996" spans="7:15" x14ac:dyDescent="0.35">
      <c r="G11996" s="15"/>
      <c r="N11996" s="10"/>
      <c r="O11996" s="16"/>
    </row>
    <row r="11997" spans="7:15" x14ac:dyDescent="0.35">
      <c r="G11997" s="15"/>
      <c r="N11997" s="10"/>
      <c r="O11997" s="16"/>
    </row>
    <row r="11998" spans="7:15" x14ac:dyDescent="0.35">
      <c r="G11998" s="15"/>
      <c r="N11998" s="10"/>
      <c r="O11998" s="16"/>
    </row>
    <row r="11999" spans="7:15" x14ac:dyDescent="0.35">
      <c r="G11999" s="15"/>
      <c r="N11999" s="10"/>
      <c r="O11999" s="16"/>
    </row>
    <row r="12000" spans="7:15" x14ac:dyDescent="0.35">
      <c r="G12000" s="15"/>
      <c r="N12000" s="10"/>
      <c r="O12000" s="16"/>
    </row>
    <row r="12001" spans="7:15" x14ac:dyDescent="0.35">
      <c r="G12001" s="15"/>
      <c r="N12001" s="10"/>
      <c r="O12001" s="16"/>
    </row>
    <row r="12002" spans="7:15" x14ac:dyDescent="0.35">
      <c r="G12002" s="15"/>
      <c r="N12002" s="10"/>
      <c r="O12002" s="16"/>
    </row>
    <row r="12003" spans="7:15" x14ac:dyDescent="0.35">
      <c r="G12003" s="15"/>
      <c r="N12003" s="10"/>
      <c r="O12003" s="16"/>
    </row>
    <row r="12004" spans="7:15" x14ac:dyDescent="0.35">
      <c r="G12004" s="15"/>
      <c r="N12004" s="10"/>
      <c r="O12004" s="16"/>
    </row>
    <row r="12005" spans="7:15" x14ac:dyDescent="0.35">
      <c r="G12005" s="15"/>
      <c r="N12005" s="10"/>
      <c r="O12005" s="16"/>
    </row>
    <row r="12006" spans="7:15" x14ac:dyDescent="0.35">
      <c r="G12006" s="15"/>
      <c r="N12006" s="10"/>
      <c r="O12006" s="16"/>
    </row>
    <row r="12007" spans="7:15" x14ac:dyDescent="0.35">
      <c r="G12007" s="15"/>
      <c r="N12007" s="10"/>
      <c r="O12007" s="16"/>
    </row>
    <row r="12008" spans="7:15" x14ac:dyDescent="0.35">
      <c r="G12008" s="15"/>
      <c r="N12008" s="10"/>
      <c r="O12008" s="16"/>
    </row>
    <row r="12009" spans="7:15" x14ac:dyDescent="0.35">
      <c r="G12009" s="15"/>
      <c r="N12009" s="10"/>
      <c r="O12009" s="16"/>
    </row>
    <row r="12010" spans="7:15" x14ac:dyDescent="0.35">
      <c r="G12010" s="15"/>
      <c r="N12010" s="10"/>
      <c r="O12010" s="16"/>
    </row>
    <row r="12011" spans="7:15" x14ac:dyDescent="0.35">
      <c r="G12011" s="15"/>
      <c r="N12011" s="10"/>
      <c r="O12011" s="16"/>
    </row>
    <row r="12012" spans="7:15" x14ac:dyDescent="0.35">
      <c r="G12012" s="15"/>
      <c r="N12012" s="10"/>
      <c r="O12012" s="16"/>
    </row>
    <row r="12013" spans="7:15" x14ac:dyDescent="0.35">
      <c r="G12013" s="15"/>
      <c r="N12013" s="10"/>
      <c r="O12013" s="16"/>
    </row>
    <row r="12014" spans="7:15" x14ac:dyDescent="0.35">
      <c r="G12014" s="15"/>
      <c r="N12014" s="10"/>
      <c r="O12014" s="16"/>
    </row>
    <row r="12015" spans="7:15" x14ac:dyDescent="0.35">
      <c r="G12015" s="15"/>
      <c r="N12015" s="10"/>
      <c r="O12015" s="16"/>
    </row>
    <row r="12016" spans="7:15" x14ac:dyDescent="0.35">
      <c r="G12016" s="15"/>
      <c r="N12016" s="10"/>
      <c r="O12016" s="16"/>
    </row>
    <row r="12017" spans="7:15" x14ac:dyDescent="0.35">
      <c r="G12017" s="15"/>
      <c r="N12017" s="10"/>
      <c r="O12017" s="16"/>
    </row>
    <row r="12018" spans="7:15" x14ac:dyDescent="0.35">
      <c r="G12018" s="15"/>
      <c r="N12018" s="10"/>
      <c r="O12018" s="16"/>
    </row>
    <row r="12019" spans="7:15" x14ac:dyDescent="0.35">
      <c r="G12019" s="15"/>
      <c r="N12019" s="10"/>
      <c r="O12019" s="16"/>
    </row>
    <row r="12020" spans="7:15" x14ac:dyDescent="0.35">
      <c r="G12020" s="15"/>
      <c r="N12020" s="10"/>
      <c r="O12020" s="16"/>
    </row>
    <row r="12021" spans="7:15" x14ac:dyDescent="0.35">
      <c r="G12021" s="15"/>
      <c r="N12021" s="10"/>
      <c r="O12021" s="16"/>
    </row>
    <row r="12022" spans="7:15" x14ac:dyDescent="0.35">
      <c r="G12022" s="15"/>
      <c r="N12022" s="10"/>
      <c r="O12022" s="16"/>
    </row>
    <row r="12023" spans="7:15" x14ac:dyDescent="0.35">
      <c r="G12023" s="15"/>
      <c r="N12023" s="10"/>
      <c r="O12023" s="16"/>
    </row>
    <row r="12024" spans="7:15" x14ac:dyDescent="0.35">
      <c r="G12024" s="15"/>
      <c r="N12024" s="10"/>
      <c r="O12024" s="16"/>
    </row>
    <row r="12025" spans="7:15" x14ac:dyDescent="0.35">
      <c r="G12025" s="15"/>
      <c r="N12025" s="10"/>
      <c r="O12025" s="16"/>
    </row>
    <row r="12026" spans="7:15" x14ac:dyDescent="0.35">
      <c r="G12026" s="15"/>
      <c r="N12026" s="10"/>
      <c r="O12026" s="16"/>
    </row>
    <row r="12027" spans="7:15" x14ac:dyDescent="0.35">
      <c r="G12027" s="15"/>
      <c r="N12027" s="10"/>
      <c r="O12027" s="16"/>
    </row>
    <row r="12028" spans="7:15" x14ac:dyDescent="0.35">
      <c r="G12028" s="15"/>
      <c r="N12028" s="10"/>
      <c r="O12028" s="16"/>
    </row>
    <row r="12029" spans="7:15" x14ac:dyDescent="0.35">
      <c r="G12029" s="15"/>
      <c r="N12029" s="10"/>
      <c r="O12029" s="16"/>
    </row>
    <row r="12030" spans="7:15" x14ac:dyDescent="0.35">
      <c r="G12030" s="15"/>
      <c r="N12030" s="10"/>
      <c r="O12030" s="16"/>
    </row>
    <row r="12031" spans="7:15" x14ac:dyDescent="0.35">
      <c r="G12031" s="15"/>
      <c r="N12031" s="10"/>
      <c r="O12031" s="16"/>
    </row>
    <row r="12032" spans="7:15" x14ac:dyDescent="0.35">
      <c r="G12032" s="15"/>
      <c r="N12032" s="10"/>
      <c r="O12032" s="16"/>
    </row>
    <row r="12033" spans="7:15" x14ac:dyDescent="0.35">
      <c r="G12033" s="15"/>
      <c r="N12033" s="10"/>
      <c r="O12033" s="16"/>
    </row>
    <row r="12034" spans="7:15" x14ac:dyDescent="0.35">
      <c r="G12034" s="15"/>
      <c r="N12034" s="10"/>
      <c r="O12034" s="16"/>
    </row>
    <row r="12035" spans="7:15" x14ac:dyDescent="0.35">
      <c r="G12035" s="15"/>
      <c r="N12035" s="10"/>
      <c r="O12035" s="16"/>
    </row>
    <row r="12036" spans="7:15" x14ac:dyDescent="0.35">
      <c r="G12036" s="15"/>
      <c r="N12036" s="10"/>
      <c r="O12036" s="16"/>
    </row>
    <row r="12037" spans="7:15" x14ac:dyDescent="0.35">
      <c r="G12037" s="15"/>
      <c r="N12037" s="10"/>
      <c r="O12037" s="16"/>
    </row>
    <row r="12038" spans="7:15" x14ac:dyDescent="0.35">
      <c r="G12038" s="15"/>
      <c r="N12038" s="10"/>
      <c r="O12038" s="16"/>
    </row>
    <row r="12039" spans="7:15" x14ac:dyDescent="0.35">
      <c r="G12039" s="15"/>
      <c r="N12039" s="10"/>
      <c r="O12039" s="16"/>
    </row>
    <row r="12040" spans="7:15" x14ac:dyDescent="0.35">
      <c r="G12040" s="15"/>
      <c r="N12040" s="10"/>
      <c r="O12040" s="16"/>
    </row>
    <row r="12041" spans="7:15" x14ac:dyDescent="0.35">
      <c r="G12041" s="15"/>
      <c r="N12041" s="10"/>
      <c r="O12041" s="16"/>
    </row>
    <row r="12042" spans="7:15" x14ac:dyDescent="0.35">
      <c r="G12042" s="15"/>
      <c r="N12042" s="10"/>
      <c r="O12042" s="16"/>
    </row>
    <row r="12043" spans="7:15" x14ac:dyDescent="0.35">
      <c r="G12043" s="15"/>
      <c r="N12043" s="10"/>
      <c r="O12043" s="16"/>
    </row>
    <row r="12044" spans="7:15" x14ac:dyDescent="0.35">
      <c r="G12044" s="15"/>
      <c r="N12044" s="10"/>
      <c r="O12044" s="16"/>
    </row>
    <row r="12045" spans="7:15" x14ac:dyDescent="0.35">
      <c r="G12045" s="15"/>
      <c r="N12045" s="10"/>
      <c r="O12045" s="16"/>
    </row>
    <row r="12046" spans="7:15" x14ac:dyDescent="0.35">
      <c r="G12046" s="15"/>
      <c r="N12046" s="10"/>
      <c r="O12046" s="16"/>
    </row>
    <row r="12047" spans="7:15" x14ac:dyDescent="0.35">
      <c r="G12047" s="15"/>
      <c r="N12047" s="10"/>
      <c r="O12047" s="16"/>
    </row>
    <row r="12048" spans="7:15" x14ac:dyDescent="0.35">
      <c r="G12048" s="15"/>
      <c r="N12048" s="10"/>
      <c r="O12048" s="16"/>
    </row>
    <row r="12049" spans="7:15" x14ac:dyDescent="0.35">
      <c r="G12049" s="15"/>
      <c r="N12049" s="10"/>
      <c r="O12049" s="16"/>
    </row>
    <row r="12050" spans="7:15" x14ac:dyDescent="0.35">
      <c r="G12050" s="15"/>
      <c r="N12050" s="10"/>
      <c r="O12050" s="16"/>
    </row>
    <row r="12051" spans="7:15" x14ac:dyDescent="0.35">
      <c r="G12051" s="15"/>
      <c r="N12051" s="10"/>
      <c r="O12051" s="16"/>
    </row>
    <row r="12052" spans="7:15" x14ac:dyDescent="0.35">
      <c r="G12052" s="15"/>
      <c r="N12052" s="10"/>
      <c r="O12052" s="16"/>
    </row>
    <row r="12053" spans="7:15" x14ac:dyDescent="0.35">
      <c r="G12053" s="15"/>
      <c r="N12053" s="10"/>
      <c r="O12053" s="16"/>
    </row>
    <row r="12054" spans="7:15" x14ac:dyDescent="0.35">
      <c r="G12054" s="15"/>
      <c r="N12054" s="10"/>
      <c r="O12054" s="16"/>
    </row>
    <row r="12055" spans="7:15" x14ac:dyDescent="0.35">
      <c r="G12055" s="15"/>
      <c r="N12055" s="10"/>
      <c r="O12055" s="16"/>
    </row>
    <row r="12056" spans="7:15" x14ac:dyDescent="0.35">
      <c r="G12056" s="15"/>
      <c r="N12056" s="10"/>
      <c r="O12056" s="16"/>
    </row>
    <row r="12057" spans="7:15" x14ac:dyDescent="0.35">
      <c r="G12057" s="15"/>
      <c r="N12057" s="10"/>
      <c r="O12057" s="16"/>
    </row>
    <row r="12058" spans="7:15" x14ac:dyDescent="0.35">
      <c r="G12058" s="15"/>
      <c r="N12058" s="10"/>
      <c r="O12058" s="16"/>
    </row>
    <row r="12059" spans="7:15" x14ac:dyDescent="0.35">
      <c r="G12059" s="15"/>
      <c r="N12059" s="10"/>
      <c r="O12059" s="16"/>
    </row>
    <row r="12060" spans="7:15" x14ac:dyDescent="0.35">
      <c r="G12060" s="15"/>
      <c r="N12060" s="10"/>
      <c r="O12060" s="16"/>
    </row>
    <row r="12061" spans="7:15" x14ac:dyDescent="0.35">
      <c r="G12061" s="15"/>
      <c r="N12061" s="10"/>
      <c r="O12061" s="16"/>
    </row>
    <row r="12062" spans="7:15" x14ac:dyDescent="0.35">
      <c r="G12062" s="15"/>
      <c r="N12062" s="10"/>
      <c r="O12062" s="16"/>
    </row>
    <row r="12063" spans="7:15" x14ac:dyDescent="0.35">
      <c r="G12063" s="15"/>
      <c r="N12063" s="10"/>
      <c r="O12063" s="16"/>
    </row>
    <row r="12064" spans="7:15" x14ac:dyDescent="0.35">
      <c r="G12064" s="15"/>
      <c r="N12064" s="10"/>
      <c r="O12064" s="16"/>
    </row>
    <row r="12065" spans="7:15" x14ac:dyDescent="0.35">
      <c r="G12065" s="15"/>
      <c r="N12065" s="10"/>
      <c r="O12065" s="16"/>
    </row>
    <row r="12066" spans="7:15" x14ac:dyDescent="0.35">
      <c r="G12066" s="15"/>
      <c r="N12066" s="10"/>
      <c r="O12066" s="16"/>
    </row>
    <row r="12067" spans="7:15" x14ac:dyDescent="0.35">
      <c r="G12067" s="15"/>
      <c r="N12067" s="10"/>
      <c r="O12067" s="16"/>
    </row>
    <row r="12068" spans="7:15" x14ac:dyDescent="0.35">
      <c r="G12068" s="15"/>
      <c r="N12068" s="10"/>
      <c r="O12068" s="16"/>
    </row>
    <row r="12069" spans="7:15" x14ac:dyDescent="0.35">
      <c r="G12069" s="15"/>
      <c r="N12069" s="10"/>
      <c r="O12069" s="16"/>
    </row>
    <row r="12070" spans="7:15" x14ac:dyDescent="0.35">
      <c r="G12070" s="15"/>
      <c r="N12070" s="10"/>
      <c r="O12070" s="16"/>
    </row>
    <row r="12071" spans="7:15" x14ac:dyDescent="0.35">
      <c r="G12071" s="15"/>
      <c r="N12071" s="10"/>
      <c r="O12071" s="16"/>
    </row>
    <row r="12072" spans="7:15" x14ac:dyDescent="0.35">
      <c r="G12072" s="15"/>
      <c r="N12072" s="10"/>
      <c r="O12072" s="16"/>
    </row>
    <row r="12073" spans="7:15" x14ac:dyDescent="0.35">
      <c r="G12073" s="15"/>
      <c r="N12073" s="10"/>
      <c r="O12073" s="16"/>
    </row>
    <row r="12074" spans="7:15" x14ac:dyDescent="0.35">
      <c r="G12074" s="15"/>
      <c r="N12074" s="10"/>
      <c r="O12074" s="16"/>
    </row>
    <row r="12075" spans="7:15" x14ac:dyDescent="0.35">
      <c r="G12075" s="15"/>
      <c r="N12075" s="10"/>
      <c r="O12075" s="16"/>
    </row>
    <row r="12076" spans="7:15" x14ac:dyDescent="0.35">
      <c r="G12076" s="15"/>
      <c r="N12076" s="10"/>
      <c r="O12076" s="16"/>
    </row>
    <row r="12077" spans="7:15" x14ac:dyDescent="0.35">
      <c r="G12077" s="15"/>
      <c r="N12077" s="10"/>
      <c r="O12077" s="16"/>
    </row>
    <row r="12078" spans="7:15" x14ac:dyDescent="0.35">
      <c r="G12078" s="15"/>
      <c r="N12078" s="10"/>
      <c r="O12078" s="16"/>
    </row>
    <row r="12079" spans="7:15" x14ac:dyDescent="0.35">
      <c r="G12079" s="15"/>
      <c r="N12079" s="10"/>
      <c r="O12079" s="16"/>
    </row>
    <row r="12080" spans="7:15" x14ac:dyDescent="0.35">
      <c r="G12080" s="15"/>
      <c r="N12080" s="10"/>
      <c r="O12080" s="16"/>
    </row>
    <row r="12081" spans="7:15" x14ac:dyDescent="0.35">
      <c r="G12081" s="15"/>
      <c r="N12081" s="10"/>
      <c r="O12081" s="16"/>
    </row>
    <row r="12082" spans="7:15" x14ac:dyDescent="0.35">
      <c r="G12082" s="15"/>
      <c r="N12082" s="10"/>
      <c r="O12082" s="16"/>
    </row>
    <row r="12083" spans="7:15" x14ac:dyDescent="0.35">
      <c r="G12083" s="15"/>
      <c r="N12083" s="10"/>
      <c r="O12083" s="16"/>
    </row>
    <row r="12084" spans="7:15" x14ac:dyDescent="0.35">
      <c r="G12084" s="15"/>
      <c r="N12084" s="10"/>
      <c r="O12084" s="16"/>
    </row>
    <row r="12085" spans="7:15" x14ac:dyDescent="0.35">
      <c r="G12085" s="15"/>
      <c r="N12085" s="10"/>
      <c r="O12085" s="16"/>
    </row>
    <row r="12086" spans="7:15" x14ac:dyDescent="0.35">
      <c r="G12086" s="15"/>
      <c r="N12086" s="10"/>
      <c r="O12086" s="16"/>
    </row>
    <row r="12087" spans="7:15" x14ac:dyDescent="0.35">
      <c r="G12087" s="15"/>
      <c r="N12087" s="10"/>
      <c r="O12087" s="16"/>
    </row>
    <row r="12088" spans="7:15" x14ac:dyDescent="0.35">
      <c r="G12088" s="15"/>
      <c r="N12088" s="10"/>
      <c r="O12088" s="16"/>
    </row>
    <row r="12089" spans="7:15" x14ac:dyDescent="0.35">
      <c r="G12089" s="15"/>
      <c r="N12089" s="10"/>
      <c r="O12089" s="16"/>
    </row>
    <row r="12090" spans="7:15" x14ac:dyDescent="0.35">
      <c r="G12090" s="15"/>
      <c r="N12090" s="10"/>
      <c r="O12090" s="16"/>
    </row>
    <row r="12091" spans="7:15" x14ac:dyDescent="0.35">
      <c r="G12091" s="15"/>
      <c r="N12091" s="10"/>
      <c r="O12091" s="16"/>
    </row>
    <row r="12092" spans="7:15" x14ac:dyDescent="0.35">
      <c r="G12092" s="15"/>
      <c r="N12092" s="10"/>
      <c r="O12092" s="16"/>
    </row>
    <row r="12093" spans="7:15" x14ac:dyDescent="0.35">
      <c r="G12093" s="15"/>
      <c r="N12093" s="10"/>
      <c r="O12093" s="16"/>
    </row>
    <row r="12094" spans="7:15" x14ac:dyDescent="0.35">
      <c r="G12094" s="15"/>
      <c r="N12094" s="10"/>
      <c r="O12094" s="16"/>
    </row>
    <row r="12095" spans="7:15" x14ac:dyDescent="0.35">
      <c r="G12095" s="15"/>
      <c r="N12095" s="10"/>
      <c r="O12095" s="16"/>
    </row>
    <row r="12096" spans="7:15" x14ac:dyDescent="0.35">
      <c r="G12096" s="15"/>
      <c r="N12096" s="10"/>
      <c r="O12096" s="16"/>
    </row>
    <row r="12097" spans="7:17" x14ac:dyDescent="0.35">
      <c r="G12097" s="15"/>
      <c r="N12097" s="10"/>
      <c r="O12097" s="16"/>
    </row>
    <row r="12098" spans="7:17" x14ac:dyDescent="0.35">
      <c r="G12098" s="15"/>
      <c r="N12098" s="10"/>
      <c r="O12098" s="16"/>
    </row>
    <row r="12099" spans="7:17" x14ac:dyDescent="0.35">
      <c r="G12099" s="15"/>
      <c r="N12099" s="10"/>
      <c r="O12099" s="16"/>
    </row>
    <row r="12100" spans="7:17" x14ac:dyDescent="0.35">
      <c r="G12100" s="15"/>
      <c r="N12100" s="10"/>
      <c r="O12100" s="16"/>
    </row>
    <row r="12101" spans="7:17" x14ac:dyDescent="0.35">
      <c r="G12101" s="15"/>
      <c r="N12101" s="10"/>
      <c r="O12101" s="16"/>
    </row>
    <row r="12102" spans="7:17" x14ac:dyDescent="0.35">
      <c r="G12102" s="15"/>
      <c r="N12102" s="10"/>
      <c r="O12102" s="16"/>
    </row>
    <row r="12103" spans="7:17" x14ac:dyDescent="0.35">
      <c r="G12103" s="15"/>
      <c r="N12103" s="10"/>
      <c r="O12103" s="16"/>
    </row>
    <row r="12104" spans="7:17" x14ac:dyDescent="0.35">
      <c r="G12104" s="15"/>
      <c r="N12104" s="10"/>
      <c r="O12104" s="16"/>
    </row>
    <row r="12105" spans="7:17" x14ac:dyDescent="0.35">
      <c r="G12105" s="15"/>
      <c r="N12105" s="10"/>
      <c r="O12105" s="16"/>
    </row>
    <row r="12106" spans="7:17" x14ac:dyDescent="0.35">
      <c r="G12106" s="15"/>
      <c r="N12106" s="10"/>
      <c r="O12106" s="16"/>
      <c r="Q12106" s="17"/>
    </row>
    <row r="12107" spans="7:17" x14ac:dyDescent="0.35">
      <c r="G12107" s="15"/>
      <c r="N12107" s="10"/>
      <c r="O12107" s="16"/>
    </row>
    <row r="12108" spans="7:17" x14ac:dyDescent="0.35">
      <c r="G12108" s="15"/>
      <c r="N12108" s="10"/>
      <c r="O12108" s="16"/>
    </row>
    <row r="12109" spans="7:17" x14ac:dyDescent="0.35">
      <c r="G12109" s="15"/>
      <c r="N12109" s="10"/>
      <c r="O12109" s="16"/>
    </row>
    <row r="12110" spans="7:17" x14ac:dyDescent="0.35">
      <c r="G12110" s="15"/>
      <c r="N12110" s="10"/>
      <c r="O12110" s="16"/>
    </row>
    <row r="12111" spans="7:17" x14ac:dyDescent="0.35">
      <c r="G12111" s="15"/>
      <c r="N12111" s="10"/>
      <c r="O12111" s="16"/>
    </row>
    <row r="12112" spans="7:17" x14ac:dyDescent="0.35">
      <c r="G12112" s="15"/>
      <c r="N12112" s="10"/>
      <c r="O12112" s="16"/>
    </row>
    <row r="12113" spans="7:15" x14ac:dyDescent="0.35">
      <c r="G12113" s="15"/>
      <c r="N12113" s="10"/>
      <c r="O12113" s="16"/>
    </row>
    <row r="12114" spans="7:15" x14ac:dyDescent="0.35">
      <c r="G12114" s="15"/>
      <c r="N12114" s="10"/>
      <c r="O12114" s="16"/>
    </row>
    <row r="12115" spans="7:15" x14ac:dyDescent="0.35">
      <c r="G12115" s="15"/>
      <c r="N12115" s="10"/>
      <c r="O12115" s="16"/>
    </row>
    <row r="12116" spans="7:15" x14ac:dyDescent="0.35">
      <c r="G12116" s="15"/>
      <c r="N12116" s="10"/>
      <c r="O12116" s="16"/>
    </row>
    <row r="12117" spans="7:15" x14ac:dyDescent="0.35">
      <c r="G12117" s="15"/>
      <c r="N12117" s="10"/>
      <c r="O12117" s="16"/>
    </row>
    <row r="12118" spans="7:15" x14ac:dyDescent="0.35">
      <c r="G12118" s="15"/>
      <c r="N12118" s="10"/>
      <c r="O12118" s="16"/>
    </row>
    <row r="12119" spans="7:15" x14ac:dyDescent="0.35">
      <c r="G12119" s="15"/>
      <c r="N12119" s="10"/>
      <c r="O12119" s="16"/>
    </row>
    <row r="12120" spans="7:15" x14ac:dyDescent="0.35">
      <c r="G12120" s="15"/>
      <c r="N12120" s="10"/>
      <c r="O12120" s="16"/>
    </row>
    <row r="12121" spans="7:15" x14ac:dyDescent="0.35">
      <c r="G12121" s="15"/>
      <c r="N12121" s="10"/>
      <c r="O12121" s="16"/>
    </row>
    <row r="12122" spans="7:15" x14ac:dyDescent="0.35">
      <c r="G12122" s="15"/>
      <c r="N12122" s="10"/>
      <c r="O12122" s="16"/>
    </row>
    <row r="12123" spans="7:15" x14ac:dyDescent="0.35">
      <c r="G12123" s="15"/>
      <c r="N12123" s="10"/>
      <c r="O12123" s="16"/>
    </row>
    <row r="12124" spans="7:15" x14ac:dyDescent="0.35">
      <c r="G12124" s="15"/>
      <c r="N12124" s="10"/>
      <c r="O12124" s="16"/>
    </row>
    <row r="12125" spans="7:15" x14ac:dyDescent="0.35">
      <c r="G12125" s="15"/>
      <c r="N12125" s="10"/>
      <c r="O12125" s="16"/>
    </row>
    <row r="12126" spans="7:15" x14ac:dyDescent="0.35">
      <c r="G12126" s="15"/>
      <c r="N12126" s="10"/>
      <c r="O12126" s="16"/>
    </row>
    <row r="12127" spans="7:15" x14ac:dyDescent="0.35">
      <c r="G12127" s="15"/>
      <c r="N12127" s="10"/>
      <c r="O12127" s="16"/>
    </row>
    <row r="12128" spans="7:15" x14ac:dyDescent="0.35">
      <c r="G12128" s="15"/>
      <c r="N12128" s="10"/>
      <c r="O12128" s="16"/>
    </row>
    <row r="12129" spans="7:15" x14ac:dyDescent="0.35">
      <c r="G12129" s="15"/>
      <c r="N12129" s="10"/>
      <c r="O12129" s="16"/>
    </row>
    <row r="12130" spans="7:15" x14ac:dyDescent="0.35">
      <c r="G12130" s="15"/>
      <c r="N12130" s="10"/>
      <c r="O12130" s="16"/>
    </row>
    <row r="12131" spans="7:15" x14ac:dyDescent="0.35">
      <c r="G12131" s="15"/>
      <c r="N12131" s="10"/>
      <c r="O12131" s="16"/>
    </row>
    <row r="12132" spans="7:15" x14ac:dyDescent="0.35">
      <c r="G12132" s="15"/>
      <c r="N12132" s="10"/>
      <c r="O12132" s="16"/>
    </row>
    <row r="12133" spans="7:15" x14ac:dyDescent="0.35">
      <c r="G12133" s="15"/>
      <c r="N12133" s="10"/>
      <c r="O12133" s="16"/>
    </row>
    <row r="12134" spans="7:15" x14ac:dyDescent="0.35">
      <c r="G12134" s="15"/>
      <c r="N12134" s="10"/>
      <c r="O12134" s="16"/>
    </row>
    <row r="12135" spans="7:15" x14ac:dyDescent="0.35">
      <c r="G12135" s="15"/>
      <c r="N12135" s="10"/>
      <c r="O12135" s="16"/>
    </row>
    <row r="12136" spans="7:15" x14ac:dyDescent="0.35">
      <c r="G12136" s="15"/>
      <c r="N12136" s="10"/>
      <c r="O12136" s="16"/>
    </row>
    <row r="12137" spans="7:15" x14ac:dyDescent="0.35">
      <c r="G12137" s="15"/>
      <c r="N12137" s="10"/>
      <c r="O12137" s="16"/>
    </row>
    <row r="12138" spans="7:15" x14ac:dyDescent="0.35">
      <c r="G12138" s="15"/>
      <c r="N12138" s="10"/>
      <c r="O12138" s="16"/>
    </row>
    <row r="12139" spans="7:15" x14ac:dyDescent="0.35">
      <c r="G12139" s="15"/>
      <c r="N12139" s="10"/>
      <c r="O12139" s="16"/>
    </row>
    <row r="12140" spans="7:15" x14ac:dyDescent="0.35">
      <c r="G12140" s="15"/>
      <c r="N12140" s="10"/>
      <c r="O12140" s="16"/>
    </row>
    <row r="12141" spans="7:15" x14ac:dyDescent="0.35">
      <c r="G12141" s="15"/>
      <c r="N12141" s="10"/>
      <c r="O12141" s="16"/>
    </row>
    <row r="12142" spans="7:15" x14ac:dyDescent="0.35">
      <c r="G12142" s="15"/>
      <c r="N12142" s="10"/>
      <c r="O12142" s="16"/>
    </row>
    <row r="12143" spans="7:15" x14ac:dyDescent="0.35">
      <c r="G12143" s="15"/>
      <c r="N12143" s="10"/>
      <c r="O12143" s="16"/>
    </row>
    <row r="12144" spans="7:15" x14ac:dyDescent="0.35">
      <c r="G12144" s="15"/>
      <c r="N12144" s="10"/>
      <c r="O12144" s="16"/>
    </row>
    <row r="12145" spans="7:15" x14ac:dyDescent="0.35">
      <c r="G12145" s="15"/>
      <c r="N12145" s="10"/>
      <c r="O12145" s="16"/>
    </row>
    <row r="12146" spans="7:15" x14ac:dyDescent="0.35">
      <c r="G12146" s="15"/>
      <c r="N12146" s="10"/>
      <c r="O12146" s="16"/>
    </row>
    <row r="12147" spans="7:15" x14ac:dyDescent="0.35">
      <c r="G12147" s="15"/>
      <c r="N12147" s="10"/>
      <c r="O12147" s="16"/>
    </row>
    <row r="12148" spans="7:15" x14ac:dyDescent="0.35">
      <c r="G12148" s="15"/>
      <c r="N12148" s="10"/>
      <c r="O12148" s="16"/>
    </row>
    <row r="12149" spans="7:15" x14ac:dyDescent="0.35">
      <c r="G12149" s="15"/>
      <c r="N12149" s="10"/>
      <c r="O12149" s="16"/>
    </row>
    <row r="12150" spans="7:15" x14ac:dyDescent="0.35">
      <c r="G12150" s="15"/>
      <c r="N12150" s="10"/>
      <c r="O12150" s="16"/>
    </row>
    <row r="12151" spans="7:15" x14ac:dyDescent="0.35">
      <c r="G12151" s="15"/>
      <c r="N12151" s="10"/>
      <c r="O12151" s="16"/>
    </row>
    <row r="12152" spans="7:15" x14ac:dyDescent="0.35">
      <c r="G12152" s="15"/>
      <c r="N12152" s="10"/>
      <c r="O12152" s="16"/>
    </row>
    <row r="12153" spans="7:15" x14ac:dyDescent="0.35">
      <c r="G12153" s="15"/>
      <c r="N12153" s="10"/>
      <c r="O12153" s="16"/>
    </row>
    <row r="12154" spans="7:15" x14ac:dyDescent="0.35">
      <c r="G12154" s="15"/>
      <c r="N12154" s="10"/>
      <c r="O12154" s="16"/>
    </row>
    <row r="12155" spans="7:15" x14ac:dyDescent="0.35">
      <c r="G12155" s="15"/>
      <c r="N12155" s="10"/>
      <c r="O12155" s="16"/>
    </row>
    <row r="12156" spans="7:15" x14ac:dyDescent="0.35">
      <c r="G12156" s="15"/>
      <c r="N12156" s="10"/>
      <c r="O12156" s="16"/>
    </row>
    <row r="12157" spans="7:15" x14ac:dyDescent="0.35">
      <c r="G12157" s="15"/>
      <c r="N12157" s="10"/>
      <c r="O12157" s="16"/>
    </row>
    <row r="12158" spans="7:15" x14ac:dyDescent="0.35">
      <c r="G12158" s="15"/>
      <c r="N12158" s="10"/>
      <c r="O12158" s="16"/>
    </row>
    <row r="12159" spans="7:15" x14ac:dyDescent="0.35">
      <c r="G12159" s="15"/>
      <c r="N12159" s="10"/>
      <c r="O12159" s="16"/>
    </row>
    <row r="12160" spans="7:15" x14ac:dyDescent="0.35">
      <c r="G12160" s="15"/>
      <c r="N12160" s="10"/>
      <c r="O12160" s="16"/>
    </row>
    <row r="12161" spans="7:15" x14ac:dyDescent="0.35">
      <c r="G12161" s="15"/>
      <c r="N12161" s="10"/>
      <c r="O12161" s="16"/>
    </row>
    <row r="12162" spans="7:15" x14ac:dyDescent="0.35">
      <c r="G12162" s="15"/>
      <c r="N12162" s="10"/>
      <c r="O12162" s="16"/>
    </row>
    <row r="12163" spans="7:15" x14ac:dyDescent="0.35">
      <c r="G12163" s="15"/>
      <c r="N12163" s="10"/>
      <c r="O12163" s="16"/>
    </row>
    <row r="12164" spans="7:15" x14ac:dyDescent="0.35">
      <c r="G12164" s="15"/>
      <c r="N12164" s="10"/>
      <c r="O12164" s="16"/>
    </row>
    <row r="12165" spans="7:15" x14ac:dyDescent="0.35">
      <c r="G12165" s="15"/>
      <c r="N12165" s="10"/>
      <c r="O12165" s="16"/>
    </row>
    <row r="12166" spans="7:15" x14ac:dyDescent="0.35">
      <c r="G12166" s="15"/>
      <c r="N12166" s="10"/>
      <c r="O12166" s="16"/>
    </row>
    <row r="12167" spans="7:15" x14ac:dyDescent="0.35">
      <c r="G12167" s="15"/>
      <c r="N12167" s="10"/>
      <c r="O12167" s="16"/>
    </row>
    <row r="12168" spans="7:15" x14ac:dyDescent="0.35">
      <c r="G12168" s="15"/>
      <c r="N12168" s="10"/>
      <c r="O12168" s="16"/>
    </row>
    <row r="12169" spans="7:15" x14ac:dyDescent="0.35">
      <c r="G12169" s="15"/>
      <c r="N12169" s="10"/>
      <c r="O12169" s="16"/>
    </row>
    <row r="12170" spans="7:15" x14ac:dyDescent="0.35">
      <c r="G12170" s="15"/>
      <c r="N12170" s="10"/>
      <c r="O12170" s="16"/>
    </row>
    <row r="12171" spans="7:15" x14ac:dyDescent="0.35">
      <c r="G12171" s="15"/>
      <c r="N12171" s="10"/>
      <c r="O12171" s="16"/>
    </row>
    <row r="12172" spans="7:15" x14ac:dyDescent="0.35">
      <c r="G12172" s="15"/>
      <c r="N12172" s="10"/>
      <c r="O12172" s="16"/>
    </row>
    <row r="12173" spans="7:15" x14ac:dyDescent="0.35">
      <c r="G12173" s="15"/>
      <c r="N12173" s="10"/>
      <c r="O12173" s="16"/>
    </row>
    <row r="12174" spans="7:15" x14ac:dyDescent="0.35">
      <c r="G12174" s="15"/>
      <c r="N12174" s="10"/>
      <c r="O12174" s="16"/>
    </row>
    <row r="12175" spans="7:15" x14ac:dyDescent="0.35">
      <c r="G12175" s="15"/>
      <c r="N12175" s="10"/>
      <c r="O12175" s="16"/>
    </row>
    <row r="12176" spans="7:15" x14ac:dyDescent="0.35">
      <c r="G12176" s="15"/>
      <c r="N12176" s="10"/>
      <c r="O12176" s="16"/>
    </row>
    <row r="12177" spans="7:17" x14ac:dyDescent="0.35">
      <c r="G12177" s="15"/>
      <c r="N12177" s="10"/>
      <c r="O12177" s="16"/>
    </row>
    <row r="12178" spans="7:17" x14ac:dyDescent="0.35">
      <c r="G12178" s="15"/>
      <c r="N12178" s="10"/>
      <c r="O12178" s="16"/>
    </row>
    <row r="12179" spans="7:17" x14ac:dyDescent="0.35">
      <c r="G12179" s="15"/>
      <c r="N12179" s="10"/>
      <c r="O12179" s="16"/>
    </row>
    <row r="12180" spans="7:17" x14ac:dyDescent="0.35">
      <c r="G12180" s="15"/>
      <c r="N12180" s="10"/>
      <c r="O12180" s="16"/>
    </row>
    <row r="12181" spans="7:17" x14ac:dyDescent="0.35">
      <c r="G12181" s="15"/>
      <c r="N12181" s="10"/>
      <c r="O12181" s="16"/>
    </row>
    <row r="12182" spans="7:17" x14ac:dyDescent="0.35">
      <c r="G12182" s="15"/>
      <c r="N12182" s="10"/>
      <c r="O12182" s="16"/>
    </row>
    <row r="12183" spans="7:17" x14ac:dyDescent="0.35">
      <c r="G12183" s="15"/>
      <c r="N12183" s="10"/>
      <c r="O12183" s="16"/>
    </row>
    <row r="12184" spans="7:17" x14ac:dyDescent="0.35">
      <c r="G12184" s="15"/>
      <c r="N12184" s="10"/>
      <c r="O12184" s="16"/>
    </row>
    <row r="12185" spans="7:17" x14ac:dyDescent="0.35">
      <c r="G12185" s="15"/>
      <c r="N12185" s="10"/>
      <c r="O12185" s="16"/>
    </row>
    <row r="12186" spans="7:17" x14ac:dyDescent="0.35">
      <c r="G12186" s="15"/>
      <c r="N12186" s="10"/>
      <c r="O12186" s="16"/>
    </row>
    <row r="12187" spans="7:17" x14ac:dyDescent="0.35">
      <c r="G12187" s="15"/>
      <c r="N12187" s="10"/>
      <c r="O12187" s="16"/>
    </row>
    <row r="12188" spans="7:17" x14ac:dyDescent="0.35">
      <c r="G12188" s="15"/>
      <c r="N12188" s="10"/>
      <c r="O12188" s="16"/>
    </row>
    <row r="12189" spans="7:17" x14ac:dyDescent="0.35">
      <c r="G12189" s="15"/>
      <c r="N12189" s="10"/>
      <c r="O12189" s="16"/>
    </row>
    <row r="12190" spans="7:17" x14ac:dyDescent="0.35">
      <c r="G12190" s="15"/>
      <c r="N12190" s="10"/>
      <c r="O12190" s="16"/>
      <c r="Q12190" s="17"/>
    </row>
    <row r="12191" spans="7:17" x14ac:dyDescent="0.35">
      <c r="G12191" s="15"/>
      <c r="N12191" s="10"/>
      <c r="O12191" s="16"/>
      <c r="Q12191" s="17"/>
    </row>
    <row r="12192" spans="7:17" x14ac:dyDescent="0.35">
      <c r="G12192" s="15"/>
      <c r="N12192" s="10"/>
      <c r="O12192" s="16"/>
    </row>
    <row r="12193" spans="7:17" x14ac:dyDescent="0.35">
      <c r="G12193" s="15"/>
      <c r="N12193" s="10"/>
      <c r="O12193" s="16"/>
    </row>
    <row r="12194" spans="7:17" x14ac:dyDescent="0.35">
      <c r="G12194" s="15"/>
      <c r="N12194" s="10"/>
      <c r="O12194" s="16"/>
    </row>
    <row r="12195" spans="7:17" x14ac:dyDescent="0.35">
      <c r="G12195" s="15"/>
      <c r="N12195" s="10"/>
      <c r="O12195" s="16"/>
    </row>
    <row r="12196" spans="7:17" x14ac:dyDescent="0.35">
      <c r="G12196" s="15"/>
      <c r="N12196" s="10"/>
      <c r="O12196" s="16"/>
      <c r="Q12196" s="17"/>
    </row>
    <row r="12197" spans="7:17" x14ac:dyDescent="0.35">
      <c r="G12197" s="15"/>
      <c r="N12197" s="10"/>
      <c r="O12197" s="16"/>
      <c r="Q12197" s="17"/>
    </row>
    <row r="12198" spans="7:17" x14ac:dyDescent="0.35">
      <c r="G12198" s="15"/>
      <c r="N12198" s="10"/>
      <c r="O12198" s="16"/>
      <c r="Q12198" s="17"/>
    </row>
    <row r="12199" spans="7:17" x14ac:dyDescent="0.35">
      <c r="G12199" s="15"/>
      <c r="N12199" s="10"/>
      <c r="O12199" s="16"/>
      <c r="Q12199" s="17"/>
    </row>
    <row r="12200" spans="7:17" x14ac:dyDescent="0.35">
      <c r="G12200" s="15"/>
      <c r="N12200" s="10"/>
      <c r="O12200" s="16"/>
      <c r="Q12200" s="17"/>
    </row>
    <row r="12201" spans="7:17" x14ac:dyDescent="0.35">
      <c r="G12201" s="15"/>
      <c r="N12201" s="10"/>
      <c r="O12201" s="16"/>
      <c r="Q12201" s="17"/>
    </row>
    <row r="12202" spans="7:17" x14ac:dyDescent="0.35">
      <c r="G12202" s="15"/>
      <c r="N12202" s="10"/>
      <c r="O12202" s="16"/>
      <c r="Q12202" s="17"/>
    </row>
    <row r="12203" spans="7:17" x14ac:dyDescent="0.35">
      <c r="G12203" s="15"/>
      <c r="N12203" s="10"/>
      <c r="O12203" s="16"/>
    </row>
    <row r="12204" spans="7:17" x14ac:dyDescent="0.35">
      <c r="G12204" s="15"/>
      <c r="N12204" s="10"/>
      <c r="O12204" s="16"/>
    </row>
    <row r="12205" spans="7:17" x14ac:dyDescent="0.35">
      <c r="G12205" s="15"/>
      <c r="N12205" s="10"/>
      <c r="O12205" s="16"/>
    </row>
    <row r="12206" spans="7:17" x14ac:dyDescent="0.35">
      <c r="G12206" s="15"/>
      <c r="N12206" s="10"/>
      <c r="O12206" s="16"/>
    </row>
    <row r="12207" spans="7:17" x14ac:dyDescent="0.35">
      <c r="G12207" s="15"/>
      <c r="N12207" s="10"/>
      <c r="O12207" s="16"/>
    </row>
    <row r="12208" spans="7:17" x14ac:dyDescent="0.35">
      <c r="G12208" s="15"/>
      <c r="N12208" s="10"/>
      <c r="O12208" s="16"/>
    </row>
    <row r="12209" spans="7:15" x14ac:dyDescent="0.35">
      <c r="G12209" s="15"/>
      <c r="N12209" s="10"/>
      <c r="O12209" s="16"/>
    </row>
    <row r="12210" spans="7:15" x14ac:dyDescent="0.35">
      <c r="G12210" s="15"/>
      <c r="N12210" s="10"/>
      <c r="O12210" s="16"/>
    </row>
    <row r="12211" spans="7:15" x14ac:dyDescent="0.35">
      <c r="G12211" s="15"/>
      <c r="N12211" s="10"/>
      <c r="O12211" s="16"/>
    </row>
    <row r="12212" spans="7:15" x14ac:dyDescent="0.35">
      <c r="G12212" s="15"/>
      <c r="N12212" s="10"/>
      <c r="O12212" s="16"/>
    </row>
    <row r="12213" spans="7:15" x14ac:dyDescent="0.35">
      <c r="G12213" s="15"/>
      <c r="N12213" s="10"/>
      <c r="O12213" s="16"/>
    </row>
    <row r="12214" spans="7:15" x14ac:dyDescent="0.35">
      <c r="G12214" s="15"/>
      <c r="N12214" s="10"/>
      <c r="O12214" s="16"/>
    </row>
    <row r="12215" spans="7:15" x14ac:dyDescent="0.35">
      <c r="G12215" s="15"/>
      <c r="N12215" s="10"/>
      <c r="O12215" s="16"/>
    </row>
    <row r="12216" spans="7:15" x14ac:dyDescent="0.35">
      <c r="G12216" s="15"/>
      <c r="N12216" s="10"/>
      <c r="O12216" s="16"/>
    </row>
    <row r="12217" spans="7:15" x14ac:dyDescent="0.35">
      <c r="G12217" s="15"/>
      <c r="N12217" s="10"/>
      <c r="O12217" s="16"/>
    </row>
    <row r="12218" spans="7:15" x14ac:dyDescent="0.35">
      <c r="G12218" s="15"/>
      <c r="N12218" s="10"/>
      <c r="O12218" s="16"/>
    </row>
    <row r="12219" spans="7:15" x14ac:dyDescent="0.35">
      <c r="G12219" s="15"/>
      <c r="N12219" s="10"/>
      <c r="O12219" s="16"/>
    </row>
    <row r="12220" spans="7:15" x14ac:dyDescent="0.35">
      <c r="G12220" s="15"/>
      <c r="N12220" s="10"/>
      <c r="O12220" s="16"/>
    </row>
    <row r="12221" spans="7:15" x14ac:dyDescent="0.35">
      <c r="G12221" s="15"/>
      <c r="N12221" s="10"/>
      <c r="O12221" s="16"/>
    </row>
    <row r="12222" spans="7:15" x14ac:dyDescent="0.35">
      <c r="G12222" s="15"/>
      <c r="N12222" s="10"/>
      <c r="O12222" s="16"/>
    </row>
    <row r="12223" spans="7:15" x14ac:dyDescent="0.35">
      <c r="G12223" s="15"/>
      <c r="N12223" s="10"/>
      <c r="O12223" s="16"/>
    </row>
    <row r="12224" spans="7:15" x14ac:dyDescent="0.35">
      <c r="G12224" s="15"/>
      <c r="N12224" s="10"/>
      <c r="O12224" s="16"/>
    </row>
    <row r="12225" spans="7:15" x14ac:dyDescent="0.35">
      <c r="G12225" s="15"/>
      <c r="N12225" s="10"/>
      <c r="O12225" s="16"/>
    </row>
    <row r="12226" spans="7:15" x14ac:dyDescent="0.35">
      <c r="G12226" s="15"/>
      <c r="N12226" s="10"/>
      <c r="O12226" s="16"/>
    </row>
    <row r="12227" spans="7:15" x14ac:dyDescent="0.35">
      <c r="G12227" s="15"/>
      <c r="N12227" s="10"/>
      <c r="O12227" s="16"/>
    </row>
    <row r="12228" spans="7:15" x14ac:dyDescent="0.35">
      <c r="G12228" s="15"/>
      <c r="N12228" s="10"/>
      <c r="O12228" s="16"/>
    </row>
    <row r="12229" spans="7:15" x14ac:dyDescent="0.35">
      <c r="G12229" s="15"/>
      <c r="N12229" s="10"/>
      <c r="O12229" s="16"/>
    </row>
    <row r="12230" spans="7:15" x14ac:dyDescent="0.35">
      <c r="G12230" s="15"/>
      <c r="N12230" s="10"/>
      <c r="O12230" s="16"/>
    </row>
    <row r="12231" spans="7:15" x14ac:dyDescent="0.35">
      <c r="G12231" s="15"/>
      <c r="N12231" s="10"/>
      <c r="O12231" s="16"/>
    </row>
    <row r="12232" spans="7:15" x14ac:dyDescent="0.35">
      <c r="G12232" s="15"/>
      <c r="N12232" s="10"/>
      <c r="O12232" s="16"/>
    </row>
    <row r="12233" spans="7:15" x14ac:dyDescent="0.35">
      <c r="G12233" s="15"/>
      <c r="N12233" s="10"/>
      <c r="O12233" s="16"/>
    </row>
    <row r="12234" spans="7:15" x14ac:dyDescent="0.35">
      <c r="G12234" s="15"/>
      <c r="N12234" s="10"/>
      <c r="O12234" s="16"/>
    </row>
    <row r="12235" spans="7:15" x14ac:dyDescent="0.35">
      <c r="G12235" s="15"/>
      <c r="N12235" s="10"/>
      <c r="O12235" s="16"/>
    </row>
    <row r="12236" spans="7:15" x14ac:dyDescent="0.35">
      <c r="G12236" s="15"/>
      <c r="N12236" s="10"/>
      <c r="O12236" s="16"/>
    </row>
    <row r="12237" spans="7:15" x14ac:dyDescent="0.35">
      <c r="G12237" s="15"/>
      <c r="N12237" s="10"/>
      <c r="O12237" s="16"/>
    </row>
    <row r="12238" spans="7:15" x14ac:dyDescent="0.35">
      <c r="G12238" s="15"/>
      <c r="N12238" s="10"/>
      <c r="O12238" s="16"/>
    </row>
    <row r="12239" spans="7:15" x14ac:dyDescent="0.35">
      <c r="G12239" s="15"/>
      <c r="N12239" s="10"/>
      <c r="O12239" s="16"/>
    </row>
    <row r="12240" spans="7:15" x14ac:dyDescent="0.35">
      <c r="G12240" s="15"/>
      <c r="N12240" s="10"/>
      <c r="O12240" s="16"/>
    </row>
    <row r="12241" spans="7:15" x14ac:dyDescent="0.35">
      <c r="G12241" s="15"/>
      <c r="N12241" s="10"/>
      <c r="O12241" s="16"/>
    </row>
    <row r="12242" spans="7:15" x14ac:dyDescent="0.35">
      <c r="G12242" s="15"/>
      <c r="N12242" s="10"/>
      <c r="O12242" s="16"/>
    </row>
    <row r="12243" spans="7:15" x14ac:dyDescent="0.35">
      <c r="G12243" s="15"/>
      <c r="N12243" s="10"/>
      <c r="O12243" s="16"/>
    </row>
    <row r="12244" spans="7:15" x14ac:dyDescent="0.35">
      <c r="G12244" s="15"/>
      <c r="N12244" s="10"/>
      <c r="O12244" s="16"/>
    </row>
    <row r="12245" spans="7:15" x14ac:dyDescent="0.35">
      <c r="G12245" s="15"/>
      <c r="N12245" s="10"/>
      <c r="O12245" s="16"/>
    </row>
    <row r="12246" spans="7:15" x14ac:dyDescent="0.35">
      <c r="G12246" s="15"/>
      <c r="N12246" s="10"/>
      <c r="O12246" s="16"/>
    </row>
    <row r="12247" spans="7:15" x14ac:dyDescent="0.35">
      <c r="G12247" s="15"/>
      <c r="N12247" s="10"/>
      <c r="O12247" s="16"/>
    </row>
    <row r="12248" spans="7:15" x14ac:dyDescent="0.35">
      <c r="G12248" s="15"/>
      <c r="N12248" s="10"/>
      <c r="O12248" s="16"/>
    </row>
    <row r="12249" spans="7:15" x14ac:dyDescent="0.35">
      <c r="G12249" s="15"/>
      <c r="N12249" s="10"/>
      <c r="O12249" s="16"/>
    </row>
    <row r="12250" spans="7:15" x14ac:dyDescent="0.35">
      <c r="G12250" s="15"/>
      <c r="N12250" s="10"/>
      <c r="O12250" s="16"/>
    </row>
    <row r="12251" spans="7:15" x14ac:dyDescent="0.35">
      <c r="G12251" s="15"/>
      <c r="N12251" s="10"/>
      <c r="O12251" s="16"/>
    </row>
    <row r="12252" spans="7:15" x14ac:dyDescent="0.35">
      <c r="G12252" s="15"/>
      <c r="N12252" s="10"/>
      <c r="O12252" s="16"/>
    </row>
    <row r="12253" spans="7:15" x14ac:dyDescent="0.35">
      <c r="G12253" s="15"/>
      <c r="N12253" s="10"/>
      <c r="O12253" s="16"/>
    </row>
    <row r="12254" spans="7:15" x14ac:dyDescent="0.35">
      <c r="G12254" s="15"/>
      <c r="N12254" s="10"/>
      <c r="O12254" s="16"/>
    </row>
    <row r="12255" spans="7:15" x14ac:dyDescent="0.35">
      <c r="G12255" s="15"/>
      <c r="N12255" s="10"/>
      <c r="O12255" s="16"/>
    </row>
    <row r="12256" spans="7:15" x14ac:dyDescent="0.35">
      <c r="G12256" s="15"/>
      <c r="N12256" s="10"/>
      <c r="O12256" s="16"/>
    </row>
    <row r="12257" spans="7:15" x14ac:dyDescent="0.35">
      <c r="G12257" s="15"/>
      <c r="N12257" s="10"/>
      <c r="O12257" s="16"/>
    </row>
    <row r="12258" spans="7:15" x14ac:dyDescent="0.35">
      <c r="G12258" s="15"/>
      <c r="N12258" s="10"/>
      <c r="O12258" s="16"/>
    </row>
    <row r="12259" spans="7:15" x14ac:dyDescent="0.35">
      <c r="G12259" s="15"/>
      <c r="N12259" s="10"/>
      <c r="O12259" s="16"/>
    </row>
    <row r="12260" spans="7:15" x14ac:dyDescent="0.35">
      <c r="G12260" s="15"/>
      <c r="N12260" s="10"/>
      <c r="O12260" s="16"/>
    </row>
    <row r="12261" spans="7:15" x14ac:dyDescent="0.35">
      <c r="G12261" s="15"/>
      <c r="N12261" s="10"/>
      <c r="O12261" s="16"/>
    </row>
    <row r="12262" spans="7:15" x14ac:dyDescent="0.35">
      <c r="G12262" s="15"/>
      <c r="N12262" s="10"/>
      <c r="O12262" s="16"/>
    </row>
    <row r="12263" spans="7:15" x14ac:dyDescent="0.35">
      <c r="G12263" s="15"/>
      <c r="N12263" s="10"/>
      <c r="O12263" s="16"/>
    </row>
    <row r="12264" spans="7:15" x14ac:dyDescent="0.35">
      <c r="G12264" s="15"/>
      <c r="N12264" s="10"/>
      <c r="O12264" s="16"/>
    </row>
    <row r="12265" spans="7:15" x14ac:dyDescent="0.35">
      <c r="G12265" s="15"/>
      <c r="N12265" s="10"/>
      <c r="O12265" s="16"/>
    </row>
    <row r="12266" spans="7:15" x14ac:dyDescent="0.35">
      <c r="G12266" s="15"/>
      <c r="N12266" s="10"/>
      <c r="O12266" s="16"/>
    </row>
    <row r="12267" spans="7:15" x14ac:dyDescent="0.35">
      <c r="G12267" s="15"/>
      <c r="N12267" s="10"/>
      <c r="O12267" s="16"/>
    </row>
    <row r="12268" spans="7:15" x14ac:dyDescent="0.35">
      <c r="G12268" s="15"/>
      <c r="N12268" s="10"/>
      <c r="O12268" s="16"/>
    </row>
    <row r="12269" spans="7:15" x14ac:dyDescent="0.35">
      <c r="G12269" s="15"/>
      <c r="N12269" s="10"/>
      <c r="O12269" s="16"/>
    </row>
    <row r="12270" spans="7:15" x14ac:dyDescent="0.35">
      <c r="G12270" s="15"/>
      <c r="N12270" s="10"/>
      <c r="O12270" s="16"/>
    </row>
    <row r="12271" spans="7:15" x14ac:dyDescent="0.35">
      <c r="G12271" s="15"/>
      <c r="N12271" s="10"/>
      <c r="O12271" s="16"/>
    </row>
  </sheetData>
  <pageMargins left="0.7" right="0.7" top="0.75" bottom="0.75" header="0.3" footer="0.3"/>
  <pageSetup orientation="portrait" r:id="rId1"/>
  <headerFooter>
    <oddFooter>&amp;L_x000D_&amp;1#&amp;"Aptos"&amp;10&amp;K000000 Husqvarna Group - Internal</oddFoot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6DBF4C-E50F-42BA-8393-8DEAFF58ED20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b6508bd0-6798-44f5-97c1-a933848a735e}" enabled="1" method="Privileged" siteId="{2a1c169e-715a-412b-b526-05da3f8412f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insert</vt:lpstr>
      <vt:lpstr>MAIN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JuanCarlos Santos</dc:creator>
  <cp:lastModifiedBy>JuanCarlos Santos</cp:lastModifiedBy>
  <dcterms:created xsi:type="dcterms:W3CDTF">2026-07-03T14:44:44Z</dcterms:created>
  <dcterms:modified xsi:type="dcterms:W3CDTF">2026-07-03T16:12:26Z</dcterms:modified>
</cp:coreProperties>
</file>